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ummary" sheetId="2" state="visible" r:id="rId4"/>
    <sheet name="Assumptions" sheetId="3" state="visible" r:id="rId5"/>
    <sheet name="Labor" sheetId="4" state="visible" r:id="rId6"/>
    <sheet name="Budget" sheetId="5" state="visible" r:id="rId7"/>
    <sheet name="EVM" sheetId="6" state="visible" r:id="rId8"/>
    <sheet name="ROI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<sst xmlns="http://schemas.openxmlformats.org/spreadsheetml/2006/main" count="184" uniqueCount="166">
  <si>
    <t xml:space="preserve">SentinelPay: cost, earned value and ROI model</t>
  </si>
  <si>
    <t xml:space="preserve">Currency: US dollars. All amounts are ASSUMPTIONS for planning, not quotes. Replace them with your real rates and prices.</t>
  </si>
  <si>
    <t xml:space="preserve">Blue text on the Assumptions, Labor and EVM sheets = inputs you edit. Yellow fill = the key levers. Black = formulas. Green = links to other sheets.</t>
  </si>
  <si>
    <t xml:space="preserve">Assumptions: every rate, price and volume lives there. Change a cell and every sheet recalculates.</t>
  </si>
  <si>
    <t xml:space="preserve">Labor: monthly loaded rate per role and FTE per month for the 6-month build.</t>
  </si>
  <si>
    <t xml:space="preserve">Budget: monthly cost baseline, contingency, management reserve, and cumulative Planned Value (PV).</t>
  </si>
  <si>
    <t xml:space="preserve">EVM: enter % complete and actual cost each month; CPI, SPI, EAC, ETC, VAC and TCPI calculate. Months 1-3 hold ILLUSTRATIVE numbers; overwrite them.</t>
  </si>
  <si>
    <t xml:space="preserve">ROI: 36-month cash model (6 months build, then selling). Summary: payback month, NPV, IRR, ROI.</t>
  </si>
  <si>
    <t xml:space="preserve">Adoption factor (Assumptions B23) scales customer wins: 1.0 = base case, 0.5 = half as many customers.</t>
  </si>
  <si>
    <t xml:space="preserve">Customer volumes and prices are placeholders. Do not present the ROI as a forecast until you validate them with real buyers.</t>
  </si>
  <si>
    <t xml:space="preserve">Investment and return summary</t>
  </si>
  <si>
    <t xml:space="preserve">Measure</t>
  </si>
  <si>
    <t xml:space="preserve">Value</t>
  </si>
  <si>
    <t xml:space="preserve">How to read it</t>
  </si>
  <si>
    <t xml:space="preserve">Build investment incl. reserve ($)</t>
  </si>
  <si>
    <t xml:space="preserve">Cash spent in the 6-month program</t>
  </si>
  <si>
    <t xml:space="preserve">Cost baseline BAC ($)</t>
  </si>
  <si>
    <t xml:space="preserve">Used for earned value</t>
  </si>
  <si>
    <t xml:space="preserve">First month with positive net cash</t>
  </si>
  <si>
    <t xml:space="preserve">Month the product first earns more than it costs to run</t>
  </si>
  <si>
    <t xml:space="preserve">Payback month (cumulative cash turns positive)</t>
  </si>
  <si>
    <t xml:space="preserve">Month counted from project start; go-live is month 6</t>
  </si>
  <si>
    <t xml:space="preserve">Months of selling needed to pay back</t>
  </si>
  <si>
    <t xml:space="preserve">Payback month minus go-live month</t>
  </si>
  <si>
    <t xml:space="preserve">Peak funding need ($)</t>
  </si>
  <si>
    <t xml:space="preserve">Most cash you must fund before it turns</t>
  </si>
  <si>
    <t xml:space="preserve">Net cash at month 36 ($)</t>
  </si>
  <si>
    <t xml:space="preserve">Cumulative</t>
  </si>
  <si>
    <t xml:space="preserve">ROI over 36 months</t>
  </si>
  <si>
    <t xml:space="preserve">Net cash at month 36 divided by build investment</t>
  </si>
  <si>
    <t xml:space="preserve">NPV at discount rate ($)</t>
  </si>
  <si>
    <t xml:space="preserve">Discount rate on Assumptions B5</t>
  </si>
  <si>
    <t xml:space="preserve">IRR (annualised)</t>
  </si>
  <si>
    <t xml:space="preserve">From monthly cash flows</t>
  </si>
  <si>
    <t xml:space="preserve">Active customers at month 36</t>
  </si>
  <si>
    <t xml:space="preserve">After churn</t>
  </si>
  <si>
    <t xml:space="preserve">Annual recurring revenue at month 36 ($)</t>
  </si>
  <si>
    <t xml:space="preserve">Active customers x annual subscription</t>
  </si>
  <si>
    <t xml:space="preserve">Adoption sensitivity (SNAPSHOT of values at build time; change Assumptions B23 to re-run live)</t>
  </si>
  <si>
    <t xml:space="preserve">Adoption factor</t>
  </si>
  <si>
    <t xml:space="preserve">Payback month</t>
  </si>
  <si>
    <t xml:space="preserve">Net cash month 36 ($)</t>
  </si>
  <si>
    <t xml:space="preserve">NPV ($)</t>
  </si>
  <si>
    <t xml:space="preserve">Customers month 36</t>
  </si>
  <si>
    <t xml:space="preserve">Not within 36 months</t>
  </si>
  <si>
    <t xml:space="preserve">Assumptions (edit blue cells)</t>
  </si>
  <si>
    <t xml:space="preserve">Item</t>
  </si>
  <si>
    <t xml:space="preserve">Note</t>
  </si>
  <si>
    <t xml:space="preserve">Contingency (% of subtotal)</t>
  </si>
  <si>
    <t xml:space="preserve">Known-unknowns; inside the cost baseline</t>
  </si>
  <si>
    <t xml:space="preserve">Management reserve (% of baseline)</t>
  </si>
  <si>
    <t xml:space="preserve">Unknown-unknowns; held outside the baseline, released by the sponsor</t>
  </si>
  <si>
    <t xml:space="preserve">Discount rate (annual)</t>
  </si>
  <si>
    <t xml:space="preserve">Assumed cost of capital</t>
  </si>
  <si>
    <t xml:space="preserve">Cloud dev/test per month ($)</t>
  </si>
  <si>
    <t xml:space="preserve">Azure + AWS standby test environments</t>
  </si>
  <si>
    <t xml:space="preserve">Tooling and licences per month ($)</t>
  </si>
  <si>
    <t xml:space="preserve">CI, scanners, observability</t>
  </si>
  <si>
    <t xml:space="preserve">Penetration test, one-off in month 5 ($)</t>
  </si>
  <si>
    <t xml:space="preserve">Independent vendor</t>
  </si>
  <si>
    <t xml:space="preserve">Compliance audit preparation, month 5 ($)</t>
  </si>
  <si>
    <t xml:space="preserve">PCI DSS / privacy readiness assessment</t>
  </si>
  <si>
    <t xml:space="preserve">Legal and privacy review, month 2 ($)</t>
  </si>
  <si>
    <t xml:space="preserve">DPIA, contracts, data-processing terms</t>
  </si>
  <si>
    <t xml:space="preserve">Documentation and training, month 6 ($)</t>
  </si>
  <si>
    <t xml:space="preserve">Customer docs, admin training</t>
  </si>
  <si>
    <t xml:space="preserve">Annual subscription per customer ($)</t>
  </si>
  <si>
    <t xml:space="preserve">PLACEHOLDER price: validate with buyers</t>
  </si>
  <si>
    <t xml:space="preserve">Onboarding fee per customer ($, one-off)</t>
  </si>
  <si>
    <t xml:space="preserve">PLACEHOLDER: integration and go-live support</t>
  </si>
  <si>
    <t xml:space="preserve">Run cost per customer per month ($)</t>
  </si>
  <si>
    <t xml:space="preserve">Cloud, support share, gateway fees not passed through</t>
  </si>
  <si>
    <t xml:space="preserve">Sustain team per month after go-live ($)</t>
  </si>
  <si>
    <t xml:space="preserve">Engineering, support, SRE after month 6</t>
  </si>
  <si>
    <t xml:space="preserve">Sales and marketing per month from month 5 ($)</t>
  </si>
  <si>
    <t xml:space="preserve">Pre-launch ramp</t>
  </si>
  <si>
    <t xml:space="preserve">New customers per month, months 7-12</t>
  </si>
  <si>
    <t xml:space="preserve">Base case before adoption factor</t>
  </si>
  <si>
    <t xml:space="preserve">New customers per month, months 13-24</t>
  </si>
  <si>
    <t xml:space="preserve">Base case</t>
  </si>
  <si>
    <t xml:space="preserve">New customers per month, months 25-36</t>
  </si>
  <si>
    <t xml:space="preserve">Annual customer churn</t>
  </si>
  <si>
    <t xml:space="preserve">Assumed</t>
  </si>
  <si>
    <t xml:space="preserve">Monthly churn (calculated)</t>
  </si>
  <si>
    <t xml:space="preserve">Derived from annual churn</t>
  </si>
  <si>
    <t xml:space="preserve">Go-live month</t>
  </si>
  <si>
    <t xml:space="preserve">End of the 6-month program</t>
  </si>
  <si>
    <t xml:space="preserve">Scales customer wins. 1.0 = base, 0.5 = pessimistic</t>
  </si>
  <si>
    <t xml:space="preserve">Labor plan: FTE per month (edit blue cells)</t>
  </si>
  <si>
    <t xml:space="preserve">Role</t>
  </si>
  <si>
    <t xml:space="preserve">Loaded rate $/month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</si>
  <si>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</si>
  <si>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</si>
  <si>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</si>
  <si>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</si>
  <si>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</si>
  <si>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</si>
  <si>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FTE-months</t>
  </si>
  <si>
    <t xml:space="preserve">Cost ($)</t>
  </si>
  <si>
    <t xml:space="preserve">Program manager</t>
  </si>
  <si>
    <t xml:space="preserve">Principal architect</t>
  </si>
  <si>
    <t xml:space="preserve">Backend engineers (.NET)</t>
  </si>
  <si>
    <t xml:space="preserve">Flutter engineers</t>
  </si>
  <si>
    <t xml:space="preserve">AI / agent engineer</t>
  </si>
  <si>
    <t xml:space="preserve">QA / SDET</t>
  </si>
  <si>
    <t xml:space="preserve">DevOps / SRE</t>
  </si>
  <si>
    <t xml:space="preserve">Security and compliance</t>
  </si>
  <si>
    <t xml:space="preserve">UX and accessibility</t>
  </si>
  <si>
    <t xml:space="preserve">Total</t>
  </si>
  <si>
    <t xml:space="preserve">Labor cost by month ($)</t>
  </si>
  <si>
    <t xml:space="preserve">Rates are assumed loaded costs (salary, overhead). Replace with your own. Check: J13 should equal J14.</t>
  </si>
  <si>
    <t xml:space="preserve">Cost baseline and Planned Value ($)</t>
  </si>
  <si>
    <t xml:space="preserve">Line</t>
  </si>
  <si>
    <t xml:space="preserve">Labor</t>
  </si>
  <si>
    <t xml:space="preserve">Cloud dev/test</t>
  </si>
  <si>
    <t xml:space="preserve">Tooling and licences</t>
  </si>
  <si>
    <t xml:space="preserve">Legal and privacy review</t>
  </si>
  <si>
    <t xml:space="preserve">Penetration test</t>
  </si>
  <si>
    <t xml:space="preserve">Compliance audit prep</t>
  </si>
  <si>
    <t xml:space="preserve">Documentation and training</t>
  </si>
  <si>
    <t xml:space="preserve">Subtotal</t>
  </si>
  <si>
    <t xml:space="preserve">Contingency</t>
  </si>
  <si>
    <t xml:space="preserve">Monthly baseline (PV, monthly)</t>
  </si>
  <si>
    <t xml:space="preserve">Cumulative PV</t>
  </si>
  <si>
    <t xml:space="preserve">Management reserve</t>
  </si>
  <si>
    <t xml:space="preserve">Total funding incl. reserve</t>
  </si>
  <si>
    <t xml:space="preserve">BAC (Budget At Completion) = H13</t>
  </si>
  <si>
    <t xml:space="preserve">Management reserve is held outside BAC and is not used in EVM.</t>
  </si>
  <si>
    <t xml:space="preserve">Earned value tracker (enter blue cells monthly)</t>
  </si>
  <si>
    <t xml:space="preserve">Months 1-3 below are ILLUSTRATIVE numbers to show the formulas working. Overwrite with real % complete and actual cost.</t>
  </si>
  <si>
    <t xml:space="preserve">Month</t>
  </si>
  <si>
    <t xml:space="preserve">PV (cum)</t>
  </si>
  <si>
    <t xml:space="preserve">% complete (cum)</t>
  </si>
  <si>
    <t xml:space="preserve">EV (cum)</t>
  </si>
  <si>
    <t xml:space="preserve">AC (cum)</t>
  </si>
  <si>
    <t xml:space="preserve">CV = EV-AC</t>
  </si>
  <si>
    <t xml:space="preserve">SV = EV-PV</t>
  </si>
  <si>
    <t xml:space="preserve">CPI</t>
  </si>
  <si>
    <t xml:space="preserve">SPI</t>
  </si>
  <si>
    <t xml:space="preserve">EAC = BAC/CPI</t>
  </si>
  <si>
    <t xml:space="preserve">ETC</t>
  </si>
  <si>
    <t xml:space="preserve">VAC = BAC-EAC</t>
  </si>
  <si>
    <t xml:space="preserve">TCPI</t>
  </si>
  <si>
    <t xml:space="preserve">Reading the numbers</t>
  </si>
  <si>
    <t xml:space="preserve">CPI below 1.00 = over budget for the work done. SPI below 1.00 = behind schedule.</t>
  </si>
  <si>
    <t xml:space="preserve">EAC = BAC / CPI assumes today's cost efficiency continues. VAC negative = forecast overrun.</t>
  </si>
  <si>
    <t xml:space="preserve">TCPI above 1.10 means the remaining work must be done much more efficiently than so far: escalate.</t>
  </si>
  <si>
    <t xml:space="preserve">Thresholds used in the project plan: amber below 0.95, red below 0.90 for CPI or SPI.</t>
  </si>
  <si>
    <t xml:space="preserve">36-month cash model</t>
  </si>
  <si>
    <t xml:space="preserve">Phase</t>
  </si>
  <si>
    <t xml:space="preserve">New customers</t>
  </si>
  <si>
    <t xml:space="preserve">Active customers</t>
  </si>
  <si>
    <t xml:space="preserve">Subscription revenue</t>
  </si>
  <si>
    <t xml:space="preserve">Onboarding revenue</t>
  </si>
  <si>
    <t xml:space="preserve">Total revenue</t>
  </si>
  <si>
    <t xml:space="preserve">Build cost</t>
  </si>
  <si>
    <t xml:space="preserve">Customer run cost</t>
  </si>
  <si>
    <t xml:space="preserve">Sustain team</t>
  </si>
  <si>
    <t xml:space="preserve">Sales and marketing</t>
  </si>
  <si>
    <t xml:space="preserve">Total cost</t>
  </si>
  <si>
    <t xml:space="preserve">Net cash</t>
  </si>
  <si>
    <t xml:space="preserve">Cumulative net cash</t>
  </si>
  <si>
    <t xml:space="preserve">Discount factor</t>
  </si>
  <si>
    <t xml:space="preserve">Discounted net</t>
  </si>
  <si>
    <t xml:space="preserve">Payback flag</t>
  </si>
  <si>
    <t xml:space="preserve">Positive-month flag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</si>
</sst>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;&quot;($&quot;#,##0\);\-"/>
    <numFmt numFmtId="166" formatCode="0"/>
    <numFmt numFmtId="167" formatCode="0.0%;\(0.0%\);\-"/>
    <numFmt numFmtId="168" formatCode="#,##0.0;\(#,##0.0\);\-"/>
    <numFmt numFmtId="169" formatCode="0.00"/>
    <numFmt numFmtId="170" formatCode="\$#,##0;&quot;($&quot;#,##0\);\-"/>
    <numFmt numFmtId="171" formatCode="0.0"/>
    <numFmt numFmtId="172" formatCode="0.00%"/>
    <numFmt numFmtId="173" formatCode="0.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71A44"/>
        <bgColor rgb="FF003366"/>
      </patternFill>
    </fill>
    <fill>
      <patternFill patternType="solid">
        <fgColor rgb="FFEEEEF6"/>
        <bgColor rgb="FFFF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EEF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71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/>
    </row>
    <row r="3" customFormat="false" ht="15" hidden="false" customHeight="true" outlineLevel="0" collapsed="false">
      <c r="A3" s="4" t="s">
        <v>1</v>
      </c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4" t="s">
        <v>3</v>
      </c>
    </row>
    <row r="6" customFormat="false" ht="15" hidden="false" customHeight="true" outlineLevel="0" collapsed="false">
      <c r="A6" s="4" t="s">
        <v>4</v>
      </c>
    </row>
    <row r="7" customFormat="false" ht="15" hidden="false" customHeight="true" outlineLevel="0" collapsed="false">
      <c r="A7" s="4" t="s">
        <v>5</v>
      </c>
    </row>
    <row r="8" customFormat="false" ht="23.25" hidden="false" customHeight="true" outlineLevel="0" collapsed="false">
      <c r="A8" s="4" t="s">
        <v>6</v>
      </c>
    </row>
    <row r="9" customFormat="false" ht="15" hidden="false" customHeight="true" outlineLevel="0" collapsed="false">
      <c r="A9" s="4" t="s">
        <v>7</v>
      </c>
    </row>
    <row r="10" customFormat="false" ht="15" hidden="false" customHeight="true" outlineLevel="0" collapsed="false">
      <c r="A10" s="4" t="s">
        <v>8</v>
      </c>
    </row>
    <row r="11" customFormat="false" ht="15" hidden="false" customHeight="true" outlineLevel="0" collapsed="false">
      <c r="A11" s="4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20"/>
    <col collapsed="false" customWidth="true" hidden="false" outlineLevel="0" max="3" min="3" style="1" width="64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20"/>
  </cols>
  <sheetData>
    <row r="1" customFormat="false" ht="17.25" hidden="false" customHeight="true" outlineLevel="0" collapsed="false">
      <c r="A1" s="2" t="s">
        <v>10</v>
      </c>
      <c r="B1" s="3"/>
      <c r="C1" s="3"/>
    </row>
    <row r="2" customFormat="false" ht="15" hidden="false" customHeight="true" outlineLevel="0" collapsed="false">
      <c r="A2" s="3"/>
      <c r="B2" s="3"/>
      <c r="C2" s="3"/>
    </row>
    <row r="3" customFormat="false" ht="15" hidden="false" customHeight="true" outlineLevel="0" collapsed="false">
      <c r="A3" s="5" t="s">
        <v>11</v>
      </c>
      <c r="B3" s="5" t="s">
        <v>12</v>
      </c>
      <c r="C3" s="5" t="s">
        <v>13</v>
      </c>
    </row>
    <row r="4" customFormat="false" ht="15" hidden="false" customHeight="true" outlineLevel="0" collapsed="false">
      <c r="A4" s="3" t="s">
        <v>14</v>
      </c>
      <c r="B4" s="6" t="n">
        <f aca="false">SUM(ROI!H4:H39)</f>
        <v>738333.75</v>
      </c>
      <c r="C4" s="3" t="s">
        <v>15</v>
      </c>
    </row>
    <row r="5" customFormat="false" ht="15" hidden="false" customHeight="true" outlineLevel="0" collapsed="false">
      <c r="A5" s="3" t="s">
        <v>16</v>
      </c>
      <c r="B5" s="6" t="n">
        <f aca="false">Budget!H18</f>
        <v>703175</v>
      </c>
      <c r="C5" s="3" t="s">
        <v>17</v>
      </c>
    </row>
    <row r="6" customFormat="false" ht="15" hidden="false" customHeight="true" outlineLevel="0" collapsed="false">
      <c r="A6" s="3" t="s">
        <v>18</v>
      </c>
      <c r="B6" s="7" t="n">
        <f aca="false">IF(COUNT(ROI!R4:R39)=0,"Not within 36 months",MIN(ROI!R4:R39))</f>
        <v>10</v>
      </c>
      <c r="C6" s="3" t="s">
        <v>19</v>
      </c>
    </row>
    <row r="7" customFormat="false" ht="15" hidden="false" customHeight="true" outlineLevel="0" collapsed="false">
      <c r="A7" s="3" t="s">
        <v>20</v>
      </c>
      <c r="B7" s="7" t="n">
        <f aca="false">IF(COUNT(ROI!Q4:Q39)=0,"Not within 36 months",MIN(ROI!Q4:Q39))</f>
        <v>18</v>
      </c>
      <c r="C7" s="3" t="s">
        <v>21</v>
      </c>
    </row>
    <row r="8" customFormat="false" ht="15" hidden="false" customHeight="true" outlineLevel="0" collapsed="false">
      <c r="A8" s="3" t="s">
        <v>22</v>
      </c>
      <c r="B8" s="7" t="n">
        <f aca="false">IF(ISNUMBER(B7),B7-Assumptions!B22,"n/a")</f>
        <v>12</v>
      </c>
      <c r="C8" s="3" t="s">
        <v>23</v>
      </c>
    </row>
    <row r="9" customFormat="false" ht="15" hidden="false" customHeight="true" outlineLevel="0" collapsed="false">
      <c r="A9" s="3" t="s">
        <v>24</v>
      </c>
      <c r="B9" s="6" t="n">
        <f aca="false">-MIN(ROI!N4:N39)</f>
        <v>833504.18082166</v>
      </c>
      <c r="C9" s="3" t="s">
        <v>25</v>
      </c>
    </row>
    <row r="10" customFormat="false" ht="15" hidden="false" customHeight="true" outlineLevel="0" collapsed="false">
      <c r="A10" s="3" t="s">
        <v>26</v>
      </c>
      <c r="B10" s="6" t="n">
        <f aca="false">ROI!N39</f>
        <v>8457623.8340706</v>
      </c>
      <c r="C10" s="3" t="s">
        <v>27</v>
      </c>
    </row>
    <row r="11" customFormat="false" ht="15" hidden="false" customHeight="true" outlineLevel="0" collapsed="false">
      <c r="A11" s="3" t="s">
        <v>28</v>
      </c>
      <c r="B11" s="8" t="n">
        <f aca="false">IF(B4=0,0,ROI!N39/B4)</f>
        <v>11.4550145297714</v>
      </c>
      <c r="C11" s="3" t="s">
        <v>29</v>
      </c>
    </row>
    <row r="12" customFormat="false" ht="15" hidden="false" customHeight="true" outlineLevel="0" collapsed="false">
      <c r="A12" s="3" t="s">
        <v>30</v>
      </c>
      <c r="B12" s="6" t="n">
        <f aca="false">SUM(ROI!P4:P39)</f>
        <v>6350335.59241233</v>
      </c>
      <c r="C12" s="3" t="s">
        <v>31</v>
      </c>
    </row>
    <row r="13" customFormat="false" ht="15" hidden="false" customHeight="true" outlineLevel="0" collapsed="false">
      <c r="A13" s="3" t="s">
        <v>32</v>
      </c>
      <c r="B13" s="8" t="n">
        <f aca="false">IFERROR((1+IRR(ROI!M4:M39,0.02))^12-1,"n/a")</f>
        <v>2.79282233951229</v>
      </c>
      <c r="C13" s="3" t="s">
        <v>33</v>
      </c>
    </row>
    <row r="14" customFormat="false" ht="15" hidden="false" customHeight="true" outlineLevel="0" collapsed="false">
      <c r="A14" s="3" t="s">
        <v>34</v>
      </c>
      <c r="B14" s="9" t="n">
        <f aca="false">ROI!D39</f>
        <v>62.7976065447037</v>
      </c>
      <c r="C14" s="3" t="s">
        <v>35</v>
      </c>
    </row>
    <row r="15" customFormat="false" ht="15" hidden="false" customHeight="true" outlineLevel="0" collapsed="false">
      <c r="A15" s="3" t="s">
        <v>36</v>
      </c>
      <c r="B15" s="6" t="n">
        <f aca="false">ROI!D39*Assumptions!B12</f>
        <v>9419640.98170555</v>
      </c>
      <c r="C15" s="3" t="s">
        <v>37</v>
      </c>
    </row>
    <row r="18" customFormat="false" ht="15" hidden="false" customHeight="false" outlineLevel="0" collapsed="false">
      <c r="A18" s="10" t="s">
        <v>38</v>
      </c>
    </row>
    <row r="19" customFormat="false" ht="15" hidden="false" customHeight="false" outlineLevel="0" collapsed="false">
      <c r="A19" s="11" t="s">
        <v>39</v>
      </c>
      <c r="B19" s="11" t="s">
        <v>40</v>
      </c>
      <c r="C19" s="11" t="s">
        <v>41</v>
      </c>
      <c r="D19" s="11" t="s">
        <v>42</v>
      </c>
      <c r="E19" s="11" t="s">
        <v>24</v>
      </c>
      <c r="F19" s="11" t="s">
        <v>43</v>
      </c>
    </row>
    <row r="20" customFormat="false" ht="15" hidden="false" customHeight="false" outlineLevel="0" collapsed="false">
      <c r="A20" s="12" t="n">
        <v>1</v>
      </c>
      <c r="B20" s="13" t="n">
        <v>18</v>
      </c>
      <c r="C20" s="14" t="n">
        <v>8457624</v>
      </c>
      <c r="D20" s="14" t="n">
        <v>6350336</v>
      </c>
      <c r="E20" s="14" t="n">
        <v>833504</v>
      </c>
      <c r="F20" s="15" t="n">
        <v>62.8</v>
      </c>
    </row>
    <row r="21" customFormat="false" ht="15" hidden="false" customHeight="false" outlineLevel="0" collapsed="false">
      <c r="A21" s="12" t="n">
        <v>0.5</v>
      </c>
      <c r="B21" s="13" t="n">
        <v>27</v>
      </c>
      <c r="C21" s="14" t="n">
        <v>2409645</v>
      </c>
      <c r="D21" s="14" t="n">
        <v>1627651</v>
      </c>
      <c r="E21" s="14" t="n">
        <v>1074077</v>
      </c>
      <c r="F21" s="15" t="n">
        <v>31.4</v>
      </c>
    </row>
    <row r="22" customFormat="false" ht="15" hidden="false" customHeight="false" outlineLevel="0" collapsed="false">
      <c r="A22" s="12" t="n">
        <v>0.25</v>
      </c>
      <c r="B22" s="13" t="s">
        <v>44</v>
      </c>
      <c r="C22" s="14" t="n">
        <v>-614344</v>
      </c>
      <c r="D22" s="14" t="n">
        <v>-733691</v>
      </c>
      <c r="E22" s="14" t="n">
        <v>1449722</v>
      </c>
      <c r="F22" s="15" t="n">
        <v>15.7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16"/>
    <col collapsed="false" customWidth="true" hidden="false" outlineLevel="0" max="3" min="3" style="1" width="70"/>
  </cols>
  <sheetData>
    <row r="1" customFormat="false" ht="17.25" hidden="false" customHeight="true" outlineLevel="0" collapsed="false">
      <c r="A1" s="2" t="s">
        <v>45</v>
      </c>
      <c r="B1" s="3"/>
      <c r="C1" s="3"/>
    </row>
    <row r="2" customFormat="false" ht="15" hidden="false" customHeight="true" outlineLevel="0" collapsed="false">
      <c r="A2" s="5" t="s">
        <v>46</v>
      </c>
      <c r="B2" s="5" t="s">
        <v>12</v>
      </c>
      <c r="C2" s="5" t="s">
        <v>47</v>
      </c>
    </row>
    <row r="3" customFormat="false" ht="15" hidden="false" customHeight="true" outlineLevel="0" collapsed="false">
      <c r="A3" s="3" t="s">
        <v>48</v>
      </c>
      <c r="B3" s="16" t="n">
        <v>0.1</v>
      </c>
      <c r="C3" s="3" t="s">
        <v>49</v>
      </c>
    </row>
    <row r="4" customFormat="false" ht="15" hidden="false" customHeight="true" outlineLevel="0" collapsed="false">
      <c r="A4" s="3" t="s">
        <v>50</v>
      </c>
      <c r="B4" s="16" t="n">
        <v>0.05</v>
      </c>
      <c r="C4" s="3" t="s">
        <v>51</v>
      </c>
    </row>
    <row r="5" customFormat="false" ht="15" hidden="false" customHeight="true" outlineLevel="0" collapsed="false">
      <c r="A5" s="3" t="s">
        <v>52</v>
      </c>
      <c r="B5" s="16" t="n">
        <v>0.12</v>
      </c>
      <c r="C5" s="3" t="s">
        <v>53</v>
      </c>
    </row>
    <row r="6" customFormat="false" ht="15" hidden="false" customHeight="true" outlineLevel="0" collapsed="false">
      <c r="A6" s="3" t="s">
        <v>54</v>
      </c>
      <c r="B6" s="17" t="n">
        <v>3000</v>
      </c>
      <c r="C6" s="3" t="s">
        <v>55</v>
      </c>
    </row>
    <row r="7" customFormat="false" ht="15" hidden="false" customHeight="true" outlineLevel="0" collapsed="false">
      <c r="A7" s="3" t="s">
        <v>56</v>
      </c>
      <c r="B7" s="17" t="n">
        <v>2000</v>
      </c>
      <c r="C7" s="3" t="s">
        <v>57</v>
      </c>
    </row>
    <row r="8" customFormat="false" ht="15" hidden="false" customHeight="true" outlineLevel="0" collapsed="false">
      <c r="A8" s="3" t="s">
        <v>58</v>
      </c>
      <c r="B8" s="17" t="n">
        <v>25000</v>
      </c>
      <c r="C8" s="3" t="s">
        <v>59</v>
      </c>
    </row>
    <row r="9" customFormat="false" ht="15" hidden="false" customHeight="true" outlineLevel="0" collapsed="false">
      <c r="A9" s="3" t="s">
        <v>60</v>
      </c>
      <c r="B9" s="17" t="n">
        <v>30000</v>
      </c>
      <c r="C9" s="3" t="s">
        <v>61</v>
      </c>
    </row>
    <row r="10" customFormat="false" ht="15" hidden="false" customHeight="true" outlineLevel="0" collapsed="false">
      <c r="A10" s="3" t="s">
        <v>62</v>
      </c>
      <c r="B10" s="17" t="n">
        <v>10000</v>
      </c>
      <c r="C10" s="3" t="s">
        <v>63</v>
      </c>
    </row>
    <row r="11" customFormat="false" ht="15" hidden="false" customHeight="true" outlineLevel="0" collapsed="false">
      <c r="A11" s="3" t="s">
        <v>64</v>
      </c>
      <c r="B11" s="17" t="n">
        <v>8000</v>
      </c>
      <c r="C11" s="3" t="s">
        <v>65</v>
      </c>
    </row>
    <row r="12" customFormat="false" ht="15" hidden="false" customHeight="true" outlineLevel="0" collapsed="false">
      <c r="A12" s="3" t="s">
        <v>66</v>
      </c>
      <c r="B12" s="18" t="n">
        <v>150000</v>
      </c>
      <c r="C12" s="3" t="s">
        <v>67</v>
      </c>
    </row>
    <row r="13" customFormat="false" ht="15" hidden="false" customHeight="true" outlineLevel="0" collapsed="false">
      <c r="A13" s="3" t="s">
        <v>68</v>
      </c>
      <c r="B13" s="18" t="n">
        <v>60000</v>
      </c>
      <c r="C13" s="3" t="s">
        <v>69</v>
      </c>
    </row>
    <row r="14" customFormat="false" ht="15" hidden="false" customHeight="true" outlineLevel="0" collapsed="false">
      <c r="A14" s="3" t="s">
        <v>70</v>
      </c>
      <c r="B14" s="17" t="n">
        <v>2500</v>
      </c>
      <c r="C14" s="3" t="s">
        <v>71</v>
      </c>
    </row>
    <row r="15" customFormat="false" ht="15" hidden="false" customHeight="true" outlineLevel="0" collapsed="false">
      <c r="A15" s="3" t="s">
        <v>72</v>
      </c>
      <c r="B15" s="17" t="n">
        <v>70000</v>
      </c>
      <c r="C15" s="3" t="s">
        <v>73</v>
      </c>
    </row>
    <row r="16" customFormat="false" ht="15" hidden="false" customHeight="true" outlineLevel="0" collapsed="false">
      <c r="A16" s="3" t="s">
        <v>74</v>
      </c>
      <c r="B16" s="17" t="n">
        <v>25000</v>
      </c>
      <c r="C16" s="3" t="s">
        <v>75</v>
      </c>
    </row>
    <row r="17" customFormat="false" ht="15" hidden="false" customHeight="true" outlineLevel="0" collapsed="false">
      <c r="A17" s="3" t="s">
        <v>76</v>
      </c>
      <c r="B17" s="19" t="n">
        <v>1</v>
      </c>
      <c r="C17" s="3" t="s">
        <v>77</v>
      </c>
    </row>
    <row r="18" customFormat="false" ht="15" hidden="false" customHeight="true" outlineLevel="0" collapsed="false">
      <c r="A18" s="3" t="s">
        <v>78</v>
      </c>
      <c r="B18" s="19" t="n">
        <v>2</v>
      </c>
      <c r="C18" s="3" t="s">
        <v>79</v>
      </c>
    </row>
    <row r="19" customFormat="false" ht="15" hidden="false" customHeight="true" outlineLevel="0" collapsed="false">
      <c r="A19" s="3" t="s">
        <v>80</v>
      </c>
      <c r="B19" s="19" t="n">
        <v>3</v>
      </c>
      <c r="C19" s="3" t="s">
        <v>79</v>
      </c>
    </row>
    <row r="20" customFormat="false" ht="15" hidden="false" customHeight="true" outlineLevel="0" collapsed="false">
      <c r="A20" s="3" t="s">
        <v>81</v>
      </c>
      <c r="B20" s="16" t="n">
        <v>0.05</v>
      </c>
      <c r="C20" s="3" t="s">
        <v>82</v>
      </c>
    </row>
    <row r="21" customFormat="false" ht="15" hidden="false" customHeight="true" outlineLevel="0" collapsed="false">
      <c r="A21" s="3" t="s">
        <v>83</v>
      </c>
      <c r="B21" s="20" t="n">
        <f aca="false">1-(1-B20)^(1/12)</f>
        <v>0.00426531877756065</v>
      </c>
      <c r="C21" s="3" t="s">
        <v>84</v>
      </c>
    </row>
    <row r="22" customFormat="false" ht="15" hidden="false" customHeight="true" outlineLevel="0" collapsed="false">
      <c r="A22" s="3" t="s">
        <v>85</v>
      </c>
      <c r="B22" s="21" t="n">
        <v>6</v>
      </c>
      <c r="C22" s="3" t="s">
        <v>86</v>
      </c>
    </row>
    <row r="23" customFormat="false" ht="15" hidden="false" customHeight="true" outlineLevel="0" collapsed="false">
      <c r="A23" s="3" t="s">
        <v>39</v>
      </c>
      <c r="B23" s="22" t="n">
        <v>1</v>
      </c>
      <c r="C23" s="3" t="s">
        <v>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10" min="2" style="1" width="14"/>
  </cols>
  <sheetData>
    <row r="1" customFormat="false" ht="17.25" hidden="false" customHeight="true" outlineLevel="0" collapsed="false">
      <c r="A1" s="2" t="s">
        <v>88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</row>
    <row r="3" customFormat="false" ht="23.25" hidden="false" customHeight="true" outlineLevel="0" collapsed="false">
      <c r="A3" s="5" t="s">
        <v>89</v>
      </c>
      <c r="B3" s="5" t="s">
        <v>90</v>
      </c>
      <c r="C3" s="5" t="s">
        <v>91</v>
      </c>
      <c r="D3" s="5" t="s">
        <v>92</v>
      </c>
      <c r="E3" s="5" t="s">
        <v>93</v>
      </c>
      <c r="F3" s="5" t="s">
        <v>94</v>
      </c>
      <c r="G3" s="5" t="s">
        <v>95</v>
      </c>
      <c r="H3" s="5" t="s">
        <v>96</v>
      </c>
      <c r="I3" s="5" t="s">
        <v>97</v>
      </c>
      <c r="J3" s="5" t="s">
        <v>98</v>
      </c>
    </row>
    <row r="4" customFormat="false" ht="15" hidden="false" customHeight="true" outlineLevel="0" collapsed="false">
      <c r="A4" s="3" t="s">
        <v>99</v>
      </c>
      <c r="B4" s="17" t="n">
        <v>9000</v>
      </c>
      <c r="C4" s="23" t="n">
        <v>1</v>
      </c>
      <c r="D4" s="23" t="n">
        <v>1</v>
      </c>
      <c r="E4" s="23" t="n">
        <v>1</v>
      </c>
      <c r="F4" s="23" t="n">
        <v>1</v>
      </c>
      <c r="G4" s="23" t="n">
        <v>1</v>
      </c>
      <c r="H4" s="23" t="n">
        <v>1</v>
      </c>
      <c r="I4" s="24" t="n">
        <f aca="false">SUM(C4:H4)</f>
        <v>6</v>
      </c>
      <c r="J4" s="25" t="n">
        <f aca="false">B4*I4</f>
        <v>54000</v>
      </c>
    </row>
    <row r="5" customFormat="false" ht="15" hidden="false" customHeight="true" outlineLevel="0" collapsed="false">
      <c r="A5" s="3" t="s">
        <v>100</v>
      </c>
      <c r="B5" s="17" t="n">
        <v>14000</v>
      </c>
      <c r="C5" s="23" t="n">
        <v>1</v>
      </c>
      <c r="D5" s="23" t="n">
        <v>1</v>
      </c>
      <c r="E5" s="23" t="n">
        <v>1</v>
      </c>
      <c r="F5" s="23" t="n">
        <v>1</v>
      </c>
      <c r="G5" s="23" t="n">
        <v>0.5</v>
      </c>
      <c r="H5" s="23" t="n">
        <v>0.5</v>
      </c>
      <c r="I5" s="24" t="n">
        <f aca="false">SUM(C5:H5)</f>
        <v>5</v>
      </c>
      <c r="J5" s="25" t="n">
        <f aca="false">B5*I5</f>
        <v>70000</v>
      </c>
    </row>
    <row r="6" customFormat="false" ht="15" hidden="false" customHeight="true" outlineLevel="0" collapsed="false">
      <c r="A6" s="3" t="s">
        <v>101</v>
      </c>
      <c r="B6" s="17" t="n">
        <v>8000</v>
      </c>
      <c r="C6" s="23" t="n">
        <v>2</v>
      </c>
      <c r="D6" s="23" t="n">
        <v>3</v>
      </c>
      <c r="E6" s="23" t="n">
        <v>3</v>
      </c>
      <c r="F6" s="23" t="n">
        <v>3</v>
      </c>
      <c r="G6" s="23" t="n">
        <v>2</v>
      </c>
      <c r="H6" s="23" t="n">
        <v>2</v>
      </c>
      <c r="I6" s="24" t="n">
        <f aca="false">SUM(C6:H6)</f>
        <v>15</v>
      </c>
      <c r="J6" s="25" t="n">
        <f aca="false">B6*I6</f>
        <v>120000</v>
      </c>
    </row>
    <row r="7" customFormat="false" ht="15" hidden="false" customHeight="true" outlineLevel="0" collapsed="false">
      <c r="A7" s="3" t="s">
        <v>102</v>
      </c>
      <c r="B7" s="17" t="n">
        <v>7500</v>
      </c>
      <c r="C7" s="23" t="n">
        <v>1</v>
      </c>
      <c r="D7" s="23" t="n">
        <v>2</v>
      </c>
      <c r="E7" s="23" t="n">
        <v>2</v>
      </c>
      <c r="F7" s="23" t="n">
        <v>2</v>
      </c>
      <c r="G7" s="23" t="n">
        <v>2</v>
      </c>
      <c r="H7" s="23" t="n">
        <v>1</v>
      </c>
      <c r="I7" s="24" t="n">
        <f aca="false">SUM(C7:H7)</f>
        <v>10</v>
      </c>
      <c r="J7" s="25" t="n">
        <f aca="false">B7*I7</f>
        <v>75000</v>
      </c>
    </row>
    <row r="8" customFormat="false" ht="15" hidden="false" customHeight="true" outlineLevel="0" collapsed="false">
      <c r="A8" s="3" t="s">
        <v>103</v>
      </c>
      <c r="B8" s="17" t="n">
        <v>10000</v>
      </c>
      <c r="C8" s="23" t="n">
        <v>0.5</v>
      </c>
      <c r="D8" s="23" t="n">
        <v>0.5</v>
      </c>
      <c r="E8" s="23" t="n">
        <v>1</v>
      </c>
      <c r="F8" s="23" t="n">
        <v>1</v>
      </c>
      <c r="G8" s="23" t="n">
        <v>1</v>
      </c>
      <c r="H8" s="23" t="n">
        <v>0.5</v>
      </c>
      <c r="I8" s="24" t="n">
        <f aca="false">SUM(C8:H8)</f>
        <v>4.5</v>
      </c>
      <c r="J8" s="25" t="n">
        <f aca="false">B8*I8</f>
        <v>45000</v>
      </c>
    </row>
    <row r="9" customFormat="false" ht="15" hidden="false" customHeight="true" outlineLevel="0" collapsed="false">
      <c r="A9" s="3" t="s">
        <v>104</v>
      </c>
      <c r="B9" s="17" t="n">
        <v>6000</v>
      </c>
      <c r="C9" s="23" t="n">
        <v>0.5</v>
      </c>
      <c r="D9" s="23" t="n">
        <v>1</v>
      </c>
      <c r="E9" s="23" t="n">
        <v>2</v>
      </c>
      <c r="F9" s="23" t="n">
        <v>2</v>
      </c>
      <c r="G9" s="23" t="n">
        <v>2</v>
      </c>
      <c r="H9" s="23" t="n">
        <v>2</v>
      </c>
      <c r="I9" s="24" t="n">
        <f aca="false">SUM(C9:H9)</f>
        <v>9.5</v>
      </c>
      <c r="J9" s="25" t="n">
        <f aca="false">B9*I9</f>
        <v>57000</v>
      </c>
    </row>
    <row r="10" customFormat="false" ht="15" hidden="false" customHeight="true" outlineLevel="0" collapsed="false">
      <c r="A10" s="3" t="s">
        <v>105</v>
      </c>
      <c r="B10" s="17" t="n">
        <v>9000</v>
      </c>
      <c r="C10" s="23" t="n">
        <v>1</v>
      </c>
      <c r="D10" s="23" t="n">
        <v>1</v>
      </c>
      <c r="E10" s="23" t="n">
        <v>1</v>
      </c>
      <c r="F10" s="23" t="n">
        <v>1</v>
      </c>
      <c r="G10" s="23" t="n">
        <v>1</v>
      </c>
      <c r="H10" s="23" t="n">
        <v>1</v>
      </c>
      <c r="I10" s="24" t="n">
        <f aca="false">SUM(C10:H10)</f>
        <v>6</v>
      </c>
      <c r="J10" s="25" t="n">
        <f aca="false">B10*I10</f>
        <v>54000</v>
      </c>
    </row>
    <row r="11" customFormat="false" ht="15" hidden="false" customHeight="true" outlineLevel="0" collapsed="false">
      <c r="A11" s="3" t="s">
        <v>106</v>
      </c>
      <c r="B11" s="17" t="n">
        <v>10000</v>
      </c>
      <c r="C11" s="23" t="n">
        <v>0.5</v>
      </c>
      <c r="D11" s="23" t="n">
        <v>0.5</v>
      </c>
      <c r="E11" s="23" t="n">
        <v>0.5</v>
      </c>
      <c r="F11" s="23" t="n">
        <v>0.5</v>
      </c>
      <c r="G11" s="23" t="n">
        <v>1</v>
      </c>
      <c r="H11" s="23" t="n">
        <v>0.5</v>
      </c>
      <c r="I11" s="24" t="n">
        <f aca="false">SUM(C11:H11)</f>
        <v>3.5</v>
      </c>
      <c r="J11" s="25" t="n">
        <f aca="false">B11*I11</f>
        <v>35000</v>
      </c>
    </row>
    <row r="12" customFormat="false" ht="15" hidden="false" customHeight="true" outlineLevel="0" collapsed="false">
      <c r="A12" s="3" t="s">
        <v>107</v>
      </c>
      <c r="B12" s="17" t="n">
        <v>7000</v>
      </c>
      <c r="C12" s="23" t="n">
        <v>0.5</v>
      </c>
      <c r="D12" s="23" t="n">
        <v>1</v>
      </c>
      <c r="E12" s="23" t="n">
        <v>0.5</v>
      </c>
      <c r="F12" s="23" t="n">
        <v>1</v>
      </c>
      <c r="G12" s="23" t="n">
        <v>0.5</v>
      </c>
      <c r="H12" s="23" t="n">
        <v>0.25</v>
      </c>
      <c r="I12" s="24" t="n">
        <f aca="false">SUM(C12:H12)</f>
        <v>3.75</v>
      </c>
      <c r="J12" s="25" t="n">
        <f aca="false">B12*I12</f>
        <v>26250</v>
      </c>
    </row>
    <row r="13" customFormat="false" ht="15" hidden="false" customHeight="true" outlineLevel="0" collapsed="false">
      <c r="A13" s="26" t="s">
        <v>108</v>
      </c>
      <c r="B13" s="3"/>
      <c r="C13" s="27" t="n">
        <f aca="false">SUM(C4:C12)</f>
        <v>8</v>
      </c>
      <c r="D13" s="27" t="n">
        <f aca="false">SUM(D4:D12)</f>
        <v>11</v>
      </c>
      <c r="E13" s="27" t="n">
        <f aca="false">SUM(E4:E12)</f>
        <v>12</v>
      </c>
      <c r="F13" s="27" t="n">
        <f aca="false">SUM(F4:F12)</f>
        <v>12.5</v>
      </c>
      <c r="G13" s="27" t="n">
        <f aca="false">SUM(G4:G12)</f>
        <v>11</v>
      </c>
      <c r="H13" s="27" t="n">
        <f aca="false">SUM(H4:H12)</f>
        <v>8.75</v>
      </c>
      <c r="I13" s="27" t="n">
        <f aca="false">SUM(I4:I12)</f>
        <v>63.25</v>
      </c>
      <c r="J13" s="28" t="n">
        <f aca="false">SUM(J4:J12)</f>
        <v>536250</v>
      </c>
    </row>
    <row r="14" customFormat="false" ht="15" hidden="false" customHeight="true" outlineLevel="0" collapsed="false">
      <c r="A14" s="26" t="s">
        <v>109</v>
      </c>
      <c r="B14" s="3"/>
      <c r="C14" s="28" t="n">
        <f aca="false">SUMPRODUCT($B$4:$B$12,C4:C12)</f>
        <v>72000</v>
      </c>
      <c r="D14" s="28" t="n">
        <f aca="false">SUMPRODUCT($B$4:$B$12,D4:D12)</f>
        <v>94000</v>
      </c>
      <c r="E14" s="28" t="n">
        <f aca="false">SUMPRODUCT($B$4:$B$12,E4:E12)</f>
        <v>101500</v>
      </c>
      <c r="F14" s="28" t="n">
        <f aca="false">SUMPRODUCT($B$4:$B$12,F4:F12)</f>
        <v>105000</v>
      </c>
      <c r="G14" s="28" t="n">
        <f aca="false">SUMPRODUCT($B$4:$B$12,G4:G12)</f>
        <v>91500</v>
      </c>
      <c r="H14" s="28" t="n">
        <f aca="false">SUMPRODUCT($B$4:$B$12,H4:H12)</f>
        <v>72250</v>
      </c>
      <c r="I14" s="3"/>
      <c r="J14" s="28" t="n">
        <f aca="false">SUM(C14:H14)</f>
        <v>536250</v>
      </c>
    </row>
    <row r="15" customFormat="false" ht="15" hidden="false" customHeight="tru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customFormat="false" ht="15" hidden="false" customHeight="true" outlineLevel="0" collapsed="false">
      <c r="A16" s="3" t="s">
        <v>110</v>
      </c>
      <c r="B16" s="3"/>
      <c r="C16" s="3"/>
      <c r="D16" s="3"/>
      <c r="E16" s="3"/>
      <c r="F16" s="3"/>
      <c r="G16" s="3"/>
      <c r="H16" s="3"/>
      <c r="I16" s="3"/>
      <c r="J16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8" min="2" style="1" width="14"/>
  </cols>
  <sheetData>
    <row r="1" customFormat="false" ht="17.25" hidden="false" customHeight="true" outlineLevel="0" collapsed="false">
      <c r="A1" s="2" t="s">
        <v>111</v>
      </c>
      <c r="B1" s="3"/>
      <c r="C1" s="3"/>
      <c r="D1" s="3"/>
      <c r="E1" s="3"/>
      <c r="F1" s="3"/>
      <c r="G1" s="3"/>
      <c r="H1" s="3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  <c r="H2" s="3"/>
    </row>
    <row r="3" customFormat="false" ht="15" hidden="false" customHeight="true" outlineLevel="0" collapsed="false">
      <c r="A3" s="5" t="s">
        <v>112</v>
      </c>
      <c r="B3" s="5" t="s">
        <v>91</v>
      </c>
      <c r="C3" s="5" t="s">
        <v>92</v>
      </c>
      <c r="D3" s="5" t="s">
        <v>93</v>
      </c>
      <c r="E3" s="5" t="s">
        <v>94</v>
      </c>
      <c r="F3" s="5" t="s">
        <v>95</v>
      </c>
      <c r="G3" s="5" t="s">
        <v>96</v>
      </c>
      <c r="H3" s="5" t="s">
        <v>108</v>
      </c>
    </row>
    <row r="4" customFormat="false" ht="15" hidden="false" customHeight="true" outlineLevel="0" collapsed="false">
      <c r="A4" s="3" t="s">
        <v>113</v>
      </c>
      <c r="B4" s="29" t="n">
        <f aca="false">Labor!C14</f>
        <v>72000</v>
      </c>
      <c r="C4" s="29" t="n">
        <f aca="false">Labor!D14</f>
        <v>94000</v>
      </c>
      <c r="D4" s="29" t="n">
        <f aca="false">Labor!E14</f>
        <v>101500</v>
      </c>
      <c r="E4" s="29" t="n">
        <f aca="false">Labor!F14</f>
        <v>105000</v>
      </c>
      <c r="F4" s="29" t="n">
        <f aca="false">Labor!G14</f>
        <v>91500</v>
      </c>
      <c r="G4" s="29" t="n">
        <f aca="false">Labor!H14</f>
        <v>72250</v>
      </c>
      <c r="H4" s="28" t="n">
        <f aca="false">SUM(B4:G4)</f>
        <v>536250</v>
      </c>
    </row>
    <row r="5" customFormat="false" ht="15" hidden="false" customHeight="true" outlineLevel="0" collapsed="false">
      <c r="A5" s="3" t="s">
        <v>114</v>
      </c>
      <c r="B5" s="29" t="n">
        <f aca="false">Assumptions!$B$6</f>
        <v>3000</v>
      </c>
      <c r="C5" s="29" t="n">
        <f aca="false">Assumptions!$B$6</f>
        <v>3000</v>
      </c>
      <c r="D5" s="29" t="n">
        <f aca="false">Assumptions!$B$6</f>
        <v>3000</v>
      </c>
      <c r="E5" s="29" t="n">
        <f aca="false">Assumptions!$B$6</f>
        <v>3000</v>
      </c>
      <c r="F5" s="29" t="n">
        <f aca="false">Assumptions!$B$6</f>
        <v>3000</v>
      </c>
      <c r="G5" s="29" t="n">
        <f aca="false">Assumptions!$B$6</f>
        <v>3000</v>
      </c>
      <c r="H5" s="28" t="n">
        <f aca="false">SUM(B5:G5)</f>
        <v>18000</v>
      </c>
    </row>
    <row r="6" customFormat="false" ht="15" hidden="false" customHeight="true" outlineLevel="0" collapsed="false">
      <c r="A6" s="3" t="s">
        <v>115</v>
      </c>
      <c r="B6" s="29" t="n">
        <f aca="false">Assumptions!$B$7</f>
        <v>2000</v>
      </c>
      <c r="C6" s="29" t="n">
        <f aca="false">Assumptions!$B$7</f>
        <v>2000</v>
      </c>
      <c r="D6" s="29" t="n">
        <f aca="false">Assumptions!$B$7</f>
        <v>2000</v>
      </c>
      <c r="E6" s="29" t="n">
        <f aca="false">Assumptions!$B$7</f>
        <v>2000</v>
      </c>
      <c r="F6" s="29" t="n">
        <f aca="false">Assumptions!$B$7</f>
        <v>2000</v>
      </c>
      <c r="G6" s="29" t="n">
        <f aca="false">Assumptions!$B$7</f>
        <v>2000</v>
      </c>
      <c r="H6" s="28" t="n">
        <f aca="false">SUM(B6:G6)</f>
        <v>12000</v>
      </c>
    </row>
    <row r="7" customFormat="false" ht="15" hidden="false" customHeight="true" outlineLevel="0" collapsed="false">
      <c r="A7" s="3" t="s">
        <v>116</v>
      </c>
      <c r="B7" s="25" t="n">
        <v>0</v>
      </c>
      <c r="C7" s="29" t="n">
        <f aca="false">Assumptions!$B$10</f>
        <v>10000</v>
      </c>
      <c r="D7" s="25" t="n">
        <v>0</v>
      </c>
      <c r="E7" s="25" t="n">
        <v>0</v>
      </c>
      <c r="F7" s="25" t="n">
        <v>0</v>
      </c>
      <c r="G7" s="25" t="n">
        <v>0</v>
      </c>
      <c r="H7" s="28" t="n">
        <f aca="false">SUM(B7:G7)</f>
        <v>10000</v>
      </c>
    </row>
    <row r="8" customFormat="false" ht="15" hidden="false" customHeight="true" outlineLevel="0" collapsed="false">
      <c r="A8" s="3" t="s">
        <v>117</v>
      </c>
      <c r="B8" s="25" t="n">
        <v>0</v>
      </c>
      <c r="C8" s="25" t="n">
        <v>0</v>
      </c>
      <c r="D8" s="25" t="n">
        <v>0</v>
      </c>
      <c r="E8" s="25" t="n">
        <v>0</v>
      </c>
      <c r="F8" s="29" t="n">
        <f aca="false">Assumptions!$B$8</f>
        <v>25000</v>
      </c>
      <c r="G8" s="25" t="n">
        <v>0</v>
      </c>
      <c r="H8" s="28" t="n">
        <f aca="false">SUM(B8:G8)</f>
        <v>25000</v>
      </c>
    </row>
    <row r="9" customFormat="false" ht="15" hidden="false" customHeight="true" outlineLevel="0" collapsed="false">
      <c r="A9" s="3" t="s">
        <v>118</v>
      </c>
      <c r="B9" s="25" t="n">
        <v>0</v>
      </c>
      <c r="C9" s="25" t="n">
        <v>0</v>
      </c>
      <c r="D9" s="25" t="n">
        <v>0</v>
      </c>
      <c r="E9" s="25" t="n">
        <v>0</v>
      </c>
      <c r="F9" s="29" t="n">
        <f aca="false">Assumptions!$B$9</f>
        <v>30000</v>
      </c>
      <c r="G9" s="25" t="n">
        <v>0</v>
      </c>
      <c r="H9" s="28" t="n">
        <f aca="false">SUM(B9:G9)</f>
        <v>30000</v>
      </c>
    </row>
    <row r="10" customFormat="false" ht="15" hidden="false" customHeight="true" outlineLevel="0" collapsed="false">
      <c r="A10" s="3" t="s">
        <v>119</v>
      </c>
      <c r="B10" s="25" t="n">
        <v>0</v>
      </c>
      <c r="C10" s="25" t="n">
        <v>0</v>
      </c>
      <c r="D10" s="25" t="n">
        <v>0</v>
      </c>
      <c r="E10" s="25" t="n">
        <v>0</v>
      </c>
      <c r="F10" s="25" t="n">
        <v>0</v>
      </c>
      <c r="G10" s="29" t="n">
        <f aca="false">Assumptions!$B$11</f>
        <v>8000</v>
      </c>
      <c r="H10" s="28" t="n">
        <f aca="false">SUM(B10:G10)</f>
        <v>8000</v>
      </c>
    </row>
    <row r="11" customFormat="false" ht="15" hidden="false" customHeight="true" outlineLevel="0" collapsed="false">
      <c r="A11" s="26" t="s">
        <v>120</v>
      </c>
      <c r="B11" s="28" t="n">
        <f aca="false">SUM(B4:B10)</f>
        <v>77000</v>
      </c>
      <c r="C11" s="28" t="n">
        <f aca="false">SUM(C4:C10)</f>
        <v>109000</v>
      </c>
      <c r="D11" s="28" t="n">
        <f aca="false">SUM(D4:D10)</f>
        <v>106500</v>
      </c>
      <c r="E11" s="28" t="n">
        <f aca="false">SUM(E4:E10)</f>
        <v>110000</v>
      </c>
      <c r="F11" s="28" t="n">
        <f aca="false">SUM(F4:F10)</f>
        <v>151500</v>
      </c>
      <c r="G11" s="28" t="n">
        <f aca="false">SUM(G4:G10)</f>
        <v>85250</v>
      </c>
      <c r="H11" s="28" t="n">
        <f aca="false">SUM(B11:G11)</f>
        <v>639250</v>
      </c>
    </row>
    <row r="12" customFormat="false" ht="15" hidden="false" customHeight="true" outlineLevel="0" collapsed="false">
      <c r="A12" s="3" t="s">
        <v>121</v>
      </c>
      <c r="B12" s="25" t="n">
        <f aca="false">B11*Assumptions!$B$3</f>
        <v>7700</v>
      </c>
      <c r="C12" s="25" t="n">
        <f aca="false">C11*Assumptions!$B$3</f>
        <v>10900</v>
      </c>
      <c r="D12" s="25" t="n">
        <f aca="false">D11*Assumptions!$B$3</f>
        <v>10650</v>
      </c>
      <c r="E12" s="25" t="n">
        <f aca="false">E11*Assumptions!$B$3</f>
        <v>11000</v>
      </c>
      <c r="F12" s="25" t="n">
        <f aca="false">F11*Assumptions!$B$3</f>
        <v>15150</v>
      </c>
      <c r="G12" s="25" t="n">
        <f aca="false">G11*Assumptions!$B$3</f>
        <v>8525</v>
      </c>
      <c r="H12" s="28" t="n">
        <f aca="false">SUM(B12:G12)</f>
        <v>63925</v>
      </c>
    </row>
    <row r="13" customFormat="false" ht="15" hidden="false" customHeight="true" outlineLevel="0" collapsed="false">
      <c r="A13" s="26" t="s">
        <v>122</v>
      </c>
      <c r="B13" s="6" t="n">
        <f aca="false">B11+B12</f>
        <v>84700</v>
      </c>
      <c r="C13" s="6" t="n">
        <f aca="false">C11+C12</f>
        <v>119900</v>
      </c>
      <c r="D13" s="6" t="n">
        <f aca="false">D11+D12</f>
        <v>117150</v>
      </c>
      <c r="E13" s="6" t="n">
        <f aca="false">E11+E12</f>
        <v>121000</v>
      </c>
      <c r="F13" s="6" t="n">
        <f aca="false">F11+F12</f>
        <v>166650</v>
      </c>
      <c r="G13" s="6" t="n">
        <f aca="false">G11+G12</f>
        <v>93775</v>
      </c>
      <c r="H13" s="28" t="n">
        <f aca="false">SUM(B13:G13)</f>
        <v>703175</v>
      </c>
    </row>
    <row r="14" customFormat="false" ht="15" hidden="false" customHeight="true" outlineLevel="0" collapsed="false">
      <c r="A14" s="26" t="s">
        <v>123</v>
      </c>
      <c r="B14" s="6" t="n">
        <f aca="false">SUM($B$13:B13)</f>
        <v>84700</v>
      </c>
      <c r="C14" s="6" t="n">
        <f aca="false">SUM($B$13:C13)</f>
        <v>204600</v>
      </c>
      <c r="D14" s="6" t="n">
        <f aca="false">SUM($B$13:D13)</f>
        <v>321750</v>
      </c>
      <c r="E14" s="6" t="n">
        <f aca="false">SUM($B$13:E13)</f>
        <v>442750</v>
      </c>
      <c r="F14" s="6" t="n">
        <f aca="false">SUM($B$13:F13)</f>
        <v>609400</v>
      </c>
      <c r="G14" s="6" t="n">
        <f aca="false">SUM($B$13:G13)</f>
        <v>703175</v>
      </c>
      <c r="H14" s="3"/>
    </row>
    <row r="15" customFormat="false" ht="15" hidden="false" customHeight="true" outlineLevel="0" collapsed="false">
      <c r="A15" s="3" t="s">
        <v>124</v>
      </c>
      <c r="B15" s="25" t="n">
        <f aca="false">B13*Assumptions!$B$4</f>
        <v>4235</v>
      </c>
      <c r="C15" s="25" t="n">
        <f aca="false">C13*Assumptions!$B$4</f>
        <v>5995</v>
      </c>
      <c r="D15" s="25" t="n">
        <f aca="false">D13*Assumptions!$B$4</f>
        <v>5857.5</v>
      </c>
      <c r="E15" s="25" t="n">
        <f aca="false">E13*Assumptions!$B$4</f>
        <v>6050</v>
      </c>
      <c r="F15" s="25" t="n">
        <f aca="false">F13*Assumptions!$B$4</f>
        <v>8332.5</v>
      </c>
      <c r="G15" s="25" t="n">
        <f aca="false">G13*Assumptions!$B$4</f>
        <v>4688.75</v>
      </c>
      <c r="H15" s="28" t="n">
        <f aca="false">SUM(B15:G15)</f>
        <v>35158.75</v>
      </c>
    </row>
    <row r="16" customFormat="false" ht="15" hidden="false" customHeight="true" outlineLevel="0" collapsed="false">
      <c r="A16" s="26" t="s">
        <v>125</v>
      </c>
      <c r="B16" s="28" t="n">
        <f aca="false">B13+B15</f>
        <v>88935</v>
      </c>
      <c r="C16" s="28" t="n">
        <f aca="false">C13+C15</f>
        <v>125895</v>
      </c>
      <c r="D16" s="28" t="n">
        <f aca="false">D13+D15</f>
        <v>123007.5</v>
      </c>
      <c r="E16" s="28" t="n">
        <f aca="false">E13+E15</f>
        <v>127050</v>
      </c>
      <c r="F16" s="28" t="n">
        <f aca="false">F13+F15</f>
        <v>174982.5</v>
      </c>
      <c r="G16" s="28" t="n">
        <f aca="false">G13+G15</f>
        <v>98463.75</v>
      </c>
      <c r="H16" s="28" t="n">
        <f aca="false">SUM(B16:G16)</f>
        <v>738333.75</v>
      </c>
    </row>
    <row r="17" customFormat="false" ht="15" hidden="false" customHeight="true" outlineLevel="0" collapsed="false">
      <c r="A17" s="3"/>
      <c r="B17" s="3"/>
      <c r="C17" s="3"/>
      <c r="D17" s="3"/>
      <c r="E17" s="3"/>
      <c r="F17" s="3"/>
      <c r="G17" s="3"/>
      <c r="H17" s="3"/>
    </row>
    <row r="18" customFormat="false" ht="15" hidden="false" customHeight="true" outlineLevel="0" collapsed="false">
      <c r="A18" s="26" t="s">
        <v>126</v>
      </c>
      <c r="B18" s="3"/>
      <c r="C18" s="3"/>
      <c r="D18" s="3"/>
      <c r="E18" s="3"/>
      <c r="F18" s="3"/>
      <c r="G18" s="3"/>
      <c r="H18" s="30" t="n">
        <f aca="false">H13</f>
        <v>703175</v>
      </c>
    </row>
    <row r="19" customFormat="false" ht="15" hidden="false" customHeight="true" outlineLevel="0" collapsed="false">
      <c r="A19" s="3" t="s">
        <v>127</v>
      </c>
      <c r="B19" s="3"/>
      <c r="C19" s="3"/>
      <c r="D19" s="3"/>
      <c r="E19" s="3"/>
      <c r="F19" s="3"/>
      <c r="G19" s="3"/>
      <c r="H19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13" min="2" style="1" width="15"/>
  </cols>
  <sheetData>
    <row r="1" customFormat="false" ht="17.25" hidden="false" customHeight="true" outlineLevel="0" collapsed="false">
      <c r="A1" s="2" t="s">
        <v>128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customFormat="false" ht="15" hidden="false" customHeight="true" outlineLevel="0" collapsed="false">
      <c r="A2" s="31" t="s">
        <v>129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customFormat="false" ht="1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customFormat="false" ht="23.25" hidden="false" customHeight="true" outlineLevel="0" collapsed="false">
      <c r="A4" s="5" t="s">
        <v>130</v>
      </c>
      <c r="B4" s="5" t="s">
        <v>131</v>
      </c>
      <c r="C4" s="5" t="s">
        <v>132</v>
      </c>
      <c r="D4" s="5" t="s">
        <v>133</v>
      </c>
      <c r="E4" s="5" t="s">
        <v>134</v>
      </c>
      <c r="F4" s="5" t="s">
        <v>135</v>
      </c>
      <c r="G4" s="5" t="s">
        <v>136</v>
      </c>
      <c r="H4" s="5" t="s">
        <v>137</v>
      </c>
      <c r="I4" s="5" t="s">
        <v>138</v>
      </c>
      <c r="J4" s="5" t="s">
        <v>139</v>
      </c>
      <c r="K4" s="5" t="s">
        <v>140</v>
      </c>
      <c r="L4" s="5" t="s">
        <v>141</v>
      </c>
      <c r="M4" s="5" t="s">
        <v>142</v>
      </c>
    </row>
    <row r="5" customFormat="false" ht="15" hidden="false" customHeight="true" outlineLevel="0" collapsed="false">
      <c r="A5" s="3" t="s">
        <v>91</v>
      </c>
      <c r="B5" s="29" t="n">
        <f aca="false">Budget!B14</f>
        <v>84700</v>
      </c>
      <c r="C5" s="32" t="n">
        <v>0.118</v>
      </c>
      <c r="D5" s="25" t="n">
        <f aca="false">IF($C5="","",$C5*Budget!$H$18)</f>
        <v>82974.65</v>
      </c>
      <c r="E5" s="18" t="n">
        <v>86400</v>
      </c>
      <c r="F5" s="25" t="n">
        <f aca="false">IF(OR($C5="",$E5=""),"",D5-E5)</f>
        <v>-3425.35000000001</v>
      </c>
      <c r="G5" s="25" t="n">
        <f aca="false">IF($C5="","",D5-B5)</f>
        <v>-1725.35000000001</v>
      </c>
      <c r="H5" s="33" t="n">
        <f aca="false">IF(OR($C5="",N(E5)=0),"",D5/E5)</f>
        <v>0.96035474537037</v>
      </c>
      <c r="I5" s="33" t="n">
        <f aca="false">IF(OR($C5="",B5=0),"",D5/B5)</f>
        <v>0.97962987012987</v>
      </c>
      <c r="J5" s="25" t="n">
        <f aca="false">IF(OR(H5="",N(H5)=0),"",Budget!$H$18/H5)</f>
        <v>732203.389830509</v>
      </c>
      <c r="K5" s="25" t="n">
        <f aca="false">IF(J5="","",J5-E5)</f>
        <v>645803.389830509</v>
      </c>
      <c r="L5" s="25" t="n">
        <f aca="false">IF(J5="","",Budget!$H$18-J5)</f>
        <v>-29028.3898305085</v>
      </c>
      <c r="M5" s="33" t="n">
        <f aca="false">IF(OR($C5="",$E5="",Budget!$H$18-E5=0),"",(Budget!$H$18-D5)/(Budget!$H$18-E5))</f>
        <v>1.00555364598111</v>
      </c>
    </row>
    <row r="6" customFormat="false" ht="15" hidden="false" customHeight="true" outlineLevel="0" collapsed="false">
      <c r="A6" s="3" t="s">
        <v>92</v>
      </c>
      <c r="B6" s="29" t="n">
        <f aca="false">Budget!C14</f>
        <v>204600</v>
      </c>
      <c r="C6" s="32" t="n">
        <v>0.285</v>
      </c>
      <c r="D6" s="25" t="n">
        <f aca="false">IF($C6="","",$C6*Budget!$H$18)</f>
        <v>200404.875</v>
      </c>
      <c r="E6" s="18" t="n">
        <v>208700</v>
      </c>
      <c r="F6" s="25" t="n">
        <f aca="false">IF(OR($C6="",$E6=""),"",D6-E6)</f>
        <v>-8295.12500000003</v>
      </c>
      <c r="G6" s="25" t="n">
        <f aca="false">IF($C6="","",D6-B6)</f>
        <v>-4195.12500000003</v>
      </c>
      <c r="H6" s="33" t="n">
        <f aca="false">IF(OR($C6="",N(E6)=0),"",D6/E6)</f>
        <v>0.96025335409679</v>
      </c>
      <c r="I6" s="33" t="n">
        <f aca="false">IF(OR($C6="",B6=0),"",D6/B6)</f>
        <v>0.979495967741935</v>
      </c>
      <c r="J6" s="25" t="n">
        <f aca="false">IF(OR(H6="",N(H6)=0),"",Budget!$H$18/H6)</f>
        <v>732280.701754386</v>
      </c>
      <c r="K6" s="25" t="n">
        <f aca="false">IF(J6="","",J6-E6)</f>
        <v>523580.701754386</v>
      </c>
      <c r="L6" s="25" t="n">
        <f aca="false">IF(J6="","",Budget!$H$18-J6)</f>
        <v>-29105.7017543861</v>
      </c>
      <c r="M6" s="33" t="n">
        <f aca="false">IF(OR($C6="",$E6="",Budget!$H$18-E6=0),"",(Budget!$H$18-D6)/(Budget!$H$18-E6))</f>
        <v>1.01677562060772</v>
      </c>
    </row>
    <row r="7" customFormat="false" ht="15" hidden="false" customHeight="true" outlineLevel="0" collapsed="false">
      <c r="A7" s="3" t="s">
        <v>93</v>
      </c>
      <c r="B7" s="29" t="n">
        <f aca="false">Budget!D14</f>
        <v>321750</v>
      </c>
      <c r="C7" s="32" t="n">
        <v>0.448</v>
      </c>
      <c r="D7" s="25" t="n">
        <f aca="false">IF($C7="","",$C7*Budget!$H$18)</f>
        <v>315022.4</v>
      </c>
      <c r="E7" s="18" t="n">
        <v>328200</v>
      </c>
      <c r="F7" s="25" t="n">
        <f aca="false">IF(OR($C7="",$E7=""),"",D7-E7)</f>
        <v>-13177.6</v>
      </c>
      <c r="G7" s="25" t="n">
        <f aca="false">IF($C7="","",D7-B7)</f>
        <v>-6727.59999999998</v>
      </c>
      <c r="H7" s="33" t="n">
        <f aca="false">IF(OR($C7="",N(E7)=0),"",D7/E7)</f>
        <v>0.959848872638635</v>
      </c>
      <c r="I7" s="33" t="n">
        <f aca="false">IF(OR($C7="",B7=0),"",D7/B7)</f>
        <v>0.979090598290598</v>
      </c>
      <c r="J7" s="25" t="n">
        <f aca="false">IF(OR(H7="",N(H7)=0),"",Budget!$H$18/H7)</f>
        <v>732589.285714286</v>
      </c>
      <c r="K7" s="25" t="n">
        <f aca="false">IF(J7="","",J7-E7)</f>
        <v>404389.285714286</v>
      </c>
      <c r="L7" s="25" t="n">
        <f aca="false">IF(J7="","",Budget!$H$18-J7)</f>
        <v>-29414.2857142857</v>
      </c>
      <c r="M7" s="33" t="n">
        <f aca="false">IF(OR($C7="",$E7="",Budget!$H$18-E7=0),"",(Budget!$H$18-D7)/(Budget!$H$18-E7))</f>
        <v>1.0351426095073</v>
      </c>
    </row>
    <row r="8" customFormat="false" ht="15" hidden="false" customHeight="true" outlineLevel="0" collapsed="false">
      <c r="A8" s="3" t="s">
        <v>94</v>
      </c>
      <c r="B8" s="29" t="n">
        <f aca="false">Budget!E14</f>
        <v>442750</v>
      </c>
      <c r="C8" s="32"/>
      <c r="D8" s="25" t="str">
        <f aca="false">IF($C8="","",$C8*Budget!$H$18)</f>
        <v/>
      </c>
      <c r="E8" s="18"/>
      <c r="F8" s="25" t="str">
        <f aca="false">IF(OR($C8="",$E8=""),"",D8-E8)</f>
        <v/>
      </c>
      <c r="G8" s="25" t="str">
        <f aca="false">IF($C8="","",D8-B8)</f>
        <v/>
      </c>
      <c r="H8" s="33" t="str">
        <f aca="false">IF(OR($C8="",N(E8)=0),"",D8/E8)</f>
        <v/>
      </c>
      <c r="I8" s="33" t="str">
        <f aca="false">IF(OR($C8="",B8=0),"",D8/B8)</f>
        <v/>
      </c>
      <c r="J8" s="25" t="str">
        <f aca="false">IF(OR(H8="",N(H8)=0),"",Budget!$H$18/H8)</f>
        <v/>
      </c>
      <c r="K8" s="25" t="str">
        <f aca="false">IF(J8="","",J8-E8)</f>
        <v/>
      </c>
      <c r="L8" s="25" t="str">
        <f aca="false">IF(J8="","",Budget!$H$18-J8)</f>
        <v/>
      </c>
      <c r="M8" s="33" t="str">
        <f aca="false">IF(OR($C8="",$E8="",Budget!$H$18-E8=0),"",(Budget!$H$18-D8)/(Budget!$H$18-E8))</f>
        <v/>
      </c>
    </row>
    <row r="9" customFormat="false" ht="15" hidden="false" customHeight="true" outlineLevel="0" collapsed="false">
      <c r="A9" s="3" t="s">
        <v>95</v>
      </c>
      <c r="B9" s="29" t="n">
        <f aca="false">Budget!F14</f>
        <v>609400</v>
      </c>
      <c r="C9" s="32"/>
      <c r="D9" s="25" t="str">
        <f aca="false">IF($C9="","",$C9*Budget!$H$18)</f>
        <v/>
      </c>
      <c r="E9" s="18"/>
      <c r="F9" s="25" t="str">
        <f aca="false">IF(OR($C9="",$E9=""),"",D9-E9)</f>
        <v/>
      </c>
      <c r="G9" s="25" t="str">
        <f aca="false">IF($C9="","",D9-B9)</f>
        <v/>
      </c>
      <c r="H9" s="33" t="str">
        <f aca="false">IF(OR($C9="",N(E9)=0),"",D9/E9)</f>
        <v/>
      </c>
      <c r="I9" s="33" t="str">
        <f aca="false">IF(OR($C9="",B9=0),"",D9/B9)</f>
        <v/>
      </c>
      <c r="J9" s="25" t="str">
        <f aca="false">IF(OR(H9="",N(H9)=0),"",Budget!$H$18/H9)</f>
        <v/>
      </c>
      <c r="K9" s="25" t="str">
        <f aca="false">IF(J9="","",J9-E9)</f>
        <v/>
      </c>
      <c r="L9" s="25" t="str">
        <f aca="false">IF(J9="","",Budget!$H$18-J9)</f>
        <v/>
      </c>
      <c r="M9" s="33" t="str">
        <f aca="false">IF(OR($C9="",$E9="",Budget!$H$18-E9=0),"",(Budget!$H$18-D9)/(Budget!$H$18-E9))</f>
        <v/>
      </c>
    </row>
    <row r="10" customFormat="false" ht="15" hidden="false" customHeight="true" outlineLevel="0" collapsed="false">
      <c r="A10" s="3" t="s">
        <v>96</v>
      </c>
      <c r="B10" s="29" t="n">
        <f aca="false">Budget!G14</f>
        <v>703175</v>
      </c>
      <c r="C10" s="32"/>
      <c r="D10" s="25" t="str">
        <f aca="false">IF($C10="","",$C10*Budget!$H$18)</f>
        <v/>
      </c>
      <c r="E10" s="18"/>
      <c r="F10" s="25" t="str">
        <f aca="false">IF(OR($C10="",$E10=""),"",D10-E10)</f>
        <v/>
      </c>
      <c r="G10" s="25" t="str">
        <f aca="false">IF($C10="","",D10-B10)</f>
        <v/>
      </c>
      <c r="H10" s="33" t="str">
        <f aca="false">IF(OR($C10="",N(E10)=0),"",D10/E10)</f>
        <v/>
      </c>
      <c r="I10" s="33" t="str">
        <f aca="false">IF(OR($C10="",B10=0),"",D10/B10)</f>
        <v/>
      </c>
      <c r="J10" s="25" t="str">
        <f aca="false">IF(OR(H10="",N(H10)=0),"",Budget!$H$18/H10)</f>
        <v/>
      </c>
      <c r="K10" s="25" t="str">
        <f aca="false">IF(J10="","",J10-E10)</f>
        <v/>
      </c>
      <c r="L10" s="25" t="str">
        <f aca="false">IF(J10="","",Budget!$H$18-J10)</f>
        <v/>
      </c>
      <c r="M10" s="33" t="str">
        <f aca="false">IF(OR($C10="",$E10="",Budget!$H$18-E10=0),"",(Budget!$H$18-D10)/(Budget!$H$18-E10))</f>
        <v/>
      </c>
    </row>
    <row r="11" customFormat="false" ht="15" hidden="false" customHeight="tru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customFormat="false" ht="15" hidden="false" customHeight="true" outlineLevel="0" collapsed="false">
      <c r="A12" s="26" t="s">
        <v>143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customFormat="false" ht="15" hidden="false" customHeight="true" outlineLevel="0" collapsed="false">
      <c r="A13" s="3" t="s">
        <v>144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customFormat="false" ht="15" hidden="false" customHeight="true" outlineLevel="0" collapsed="false">
      <c r="A14" s="3" t="s">
        <v>145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customFormat="false" ht="15" hidden="false" customHeight="true" outlineLevel="0" collapsed="false">
      <c r="A15" s="3" t="s">
        <v>146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customFormat="false" ht="15" hidden="false" customHeight="true" outlineLevel="0" collapsed="false">
      <c r="A16" s="3" t="s">
        <v>147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0"/>
    <col collapsed="false" customWidth="true" hidden="false" outlineLevel="0" max="18" min="3" style="1" width="15"/>
  </cols>
  <sheetData>
    <row r="1" customFormat="false" ht="17.25" hidden="false" customHeight="true" outlineLevel="0" collapsed="false">
      <c r="A1" s="2" t="s">
        <v>148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customFormat="false" ht="42" hidden="false" customHeight="true" outlineLevel="0" collapsed="false">
      <c r="A3" s="5" t="s">
        <v>130</v>
      </c>
      <c r="B3" s="5" t="s">
        <v>149</v>
      </c>
      <c r="C3" s="5" t="s">
        <v>150</v>
      </c>
      <c r="D3" s="5" t="s">
        <v>151</v>
      </c>
      <c r="E3" s="5" t="s">
        <v>152</v>
      </c>
      <c r="F3" s="5" t="s">
        <v>153</v>
      </c>
      <c r="G3" s="5" t="s">
        <v>154</v>
      </c>
      <c r="H3" s="5" t="s">
        <v>155</v>
      </c>
      <c r="I3" s="5" t="s">
        <v>156</v>
      </c>
      <c r="J3" s="5" t="s">
        <v>157</v>
      </c>
      <c r="K3" s="5" t="s">
        <v>158</v>
      </c>
      <c r="L3" s="5" t="s">
        <v>159</v>
      </c>
      <c r="M3" s="5" t="s">
        <v>160</v>
      </c>
      <c r="N3" s="5" t="s">
        <v>161</v>
      </c>
      <c r="O3" s="5" t="s">
        <v>162</v>
      </c>
      <c r="P3" s="5" t="s">
        <v>163</v>
      </c>
      <c r="Q3" s="5" t="s">
        <v>164</v>
      </c>
      <c r="R3" s="5" t="s">
        <v>165</v>
      </c>
    </row>
    <row r="4" customFormat="false" ht="15" hidden="false" customHeight="true" outlineLevel="0" collapsed="false">
      <c r="A4" s="34" t="n">
        <v>1</v>
      </c>
      <c r="B4" s="3" t="str">
        <f aca="false">IF(A4&lt;=Assumptions!$B$22,"Build","Selling")</f>
        <v>Build</v>
      </c>
      <c r="C4" s="24" t="n">
        <f aca="false">IF(A4&lt;=Assumptions!$B$22,0,IF(A4&lt;=12,Assumptions!$B$17,IF(A4&lt;=24,Assumptions!$B$18,Assumptions!$B$19)))*Assumptions!$B$23</f>
        <v>0</v>
      </c>
      <c r="D4" s="24" t="n">
        <f aca="false">C4</f>
        <v>0</v>
      </c>
      <c r="E4" s="25" t="n">
        <f aca="false">D4*Assumptions!$B$12/12</f>
        <v>0</v>
      </c>
      <c r="F4" s="25" t="n">
        <f aca="false">C4*Assumptions!$B$13</f>
        <v>0</v>
      </c>
      <c r="G4" s="28" t="n">
        <f aca="false">E4+F4</f>
        <v>0</v>
      </c>
      <c r="H4" s="25" t="n">
        <f aca="false">IF(A4&lt;=Assumptions!$B$22,INDEX(Budget!$B$16:$G$16,A4),0)</f>
        <v>88935</v>
      </c>
      <c r="I4" s="25" t="n">
        <f aca="false">D4*Assumptions!$B$14</f>
        <v>0</v>
      </c>
      <c r="J4" s="25" t="n">
        <f aca="false">IF(A4&gt;Assumptions!$B$22,Assumptions!$B$15,0)</f>
        <v>0</v>
      </c>
      <c r="K4" s="25" t="n">
        <f aca="false">IF(A4&gt;=5,Assumptions!$B$16,0)</f>
        <v>0</v>
      </c>
      <c r="L4" s="28" t="n">
        <f aca="false">H4+I4+J4+K4</f>
        <v>88935</v>
      </c>
      <c r="M4" s="28" t="n">
        <f aca="false">G4-L4</f>
        <v>-88935</v>
      </c>
      <c r="N4" s="25" t="n">
        <f aca="false">M4</f>
        <v>-88935</v>
      </c>
      <c r="O4" s="35" t="n">
        <f aca="false">1/(1+Assumptions!$B$5)^(A4/12)</f>
        <v>0.990600397943003</v>
      </c>
      <c r="P4" s="25" t="n">
        <f aca="false">M4*O4</f>
        <v>-88099.046391061</v>
      </c>
      <c r="Q4" s="34" t="str">
        <f aca="false">IF(AND(N4&gt;=0,A4&gt;Assumptions!$B$22),A4,"")</f>
        <v/>
      </c>
      <c r="R4" s="34" t="str">
        <f aca="false">IF(AND(M4&gt;0,A4&gt;Assumptions!$B$22),A4,"")</f>
        <v/>
      </c>
    </row>
    <row r="5" customFormat="false" ht="15" hidden="false" customHeight="true" outlineLevel="0" collapsed="false">
      <c r="A5" s="34" t="n">
        <v>2</v>
      </c>
      <c r="B5" s="3" t="str">
        <f aca="false">IF(A5&lt;=Assumptions!$B$22,"Build","Selling")</f>
        <v>Build</v>
      </c>
      <c r="C5" s="24" t="n">
        <f aca="false">IF(A5&lt;=Assumptions!$B$22,0,IF(A5&lt;=12,Assumptions!$B$17,IF(A5&lt;=24,Assumptions!$B$18,Assumptions!$B$19)))*Assumptions!$B$23</f>
        <v>0</v>
      </c>
      <c r="D5" s="24" t="n">
        <f aca="false">D4*(1-Assumptions!$B$21)+C5</f>
        <v>0</v>
      </c>
      <c r="E5" s="25" t="n">
        <f aca="false">D5*Assumptions!$B$12/12</f>
        <v>0</v>
      </c>
      <c r="F5" s="25" t="n">
        <f aca="false">C5*Assumptions!$B$13</f>
        <v>0</v>
      </c>
      <c r="G5" s="28" t="n">
        <f aca="false">E5+F5</f>
        <v>0</v>
      </c>
      <c r="H5" s="25" t="n">
        <f aca="false">IF(A5&lt;=Assumptions!$B$22,INDEX(Budget!$B$16:$G$16,A5),0)</f>
        <v>125895</v>
      </c>
      <c r="I5" s="25" t="n">
        <f aca="false">D5*Assumptions!$B$14</f>
        <v>0</v>
      </c>
      <c r="J5" s="25" t="n">
        <f aca="false">IF(A5&gt;Assumptions!$B$22,Assumptions!$B$15,0)</f>
        <v>0</v>
      </c>
      <c r="K5" s="25" t="n">
        <f aca="false">IF(A5&gt;=5,Assumptions!$B$16,0)</f>
        <v>0</v>
      </c>
      <c r="L5" s="28" t="n">
        <f aca="false">H5+I5+J5+K5</f>
        <v>125895</v>
      </c>
      <c r="M5" s="28" t="n">
        <f aca="false">G5-L5</f>
        <v>-125895</v>
      </c>
      <c r="N5" s="25" t="n">
        <f aca="false">N4+M5</f>
        <v>-214830</v>
      </c>
      <c r="O5" s="35" t="n">
        <f aca="false">1/(1+Assumptions!$B$5)^(A5/12)</f>
        <v>0.981289148404837</v>
      </c>
      <c r="P5" s="25" t="n">
        <f aca="false">M5*O5</f>
        <v>-123539.397338427</v>
      </c>
      <c r="Q5" s="34" t="str">
        <f aca="false">IF(AND(N5&gt;=0,A5&gt;Assumptions!$B$22),A5,"")</f>
        <v/>
      </c>
      <c r="R5" s="34" t="str">
        <f aca="false">IF(AND(M5&gt;0,A5&gt;Assumptions!$B$22),A5,"")</f>
        <v/>
      </c>
    </row>
    <row r="6" customFormat="false" ht="15" hidden="false" customHeight="true" outlineLevel="0" collapsed="false">
      <c r="A6" s="34" t="n">
        <v>3</v>
      </c>
      <c r="B6" s="3" t="str">
        <f aca="false">IF(A6&lt;=Assumptions!$B$22,"Build","Selling")</f>
        <v>Build</v>
      </c>
      <c r="C6" s="24" t="n">
        <f aca="false">IF(A6&lt;=Assumptions!$B$22,0,IF(A6&lt;=12,Assumptions!$B$17,IF(A6&lt;=24,Assumptions!$B$18,Assumptions!$B$19)))*Assumptions!$B$23</f>
        <v>0</v>
      </c>
      <c r="D6" s="24" t="n">
        <f aca="false">D5*(1-Assumptions!$B$21)+C6</f>
        <v>0</v>
      </c>
      <c r="E6" s="25" t="n">
        <f aca="false">D6*Assumptions!$B$12/12</f>
        <v>0</v>
      </c>
      <c r="F6" s="25" t="n">
        <f aca="false">C6*Assumptions!$B$13</f>
        <v>0</v>
      </c>
      <c r="G6" s="28" t="n">
        <f aca="false">E6+F6</f>
        <v>0</v>
      </c>
      <c r="H6" s="25" t="n">
        <f aca="false">IF(A6&lt;=Assumptions!$B$22,INDEX(Budget!$B$16:$G$16,A6),0)</f>
        <v>123007.5</v>
      </c>
      <c r="I6" s="25" t="n">
        <f aca="false">D6*Assumptions!$B$14</f>
        <v>0</v>
      </c>
      <c r="J6" s="25" t="n">
        <f aca="false">IF(A6&gt;Assumptions!$B$22,Assumptions!$B$15,0)</f>
        <v>0</v>
      </c>
      <c r="K6" s="25" t="n">
        <f aca="false">IF(A6&gt;=5,Assumptions!$B$16,0)</f>
        <v>0</v>
      </c>
      <c r="L6" s="28" t="n">
        <f aca="false">H6+I6+J6+K6</f>
        <v>123007.5</v>
      </c>
      <c r="M6" s="28" t="n">
        <f aca="false">G6-L6</f>
        <v>-123007.5</v>
      </c>
      <c r="N6" s="25" t="n">
        <f aca="false">N5+M6</f>
        <v>-337837.5</v>
      </c>
      <c r="O6" s="35" t="n">
        <f aca="false">1/(1+Assumptions!$B$5)^(A6/12)</f>
        <v>0.972065420906982</v>
      </c>
      <c r="P6" s="25" t="n">
        <f aca="false">M6*O6</f>
        <v>-119571.337262216</v>
      </c>
      <c r="Q6" s="34" t="str">
        <f aca="false">IF(AND(N6&gt;=0,A6&gt;Assumptions!$B$22),A6,"")</f>
        <v/>
      </c>
      <c r="R6" s="34" t="str">
        <f aca="false">IF(AND(M6&gt;0,A6&gt;Assumptions!$B$22),A6,"")</f>
        <v/>
      </c>
    </row>
    <row r="7" customFormat="false" ht="15" hidden="false" customHeight="true" outlineLevel="0" collapsed="false">
      <c r="A7" s="34" t="n">
        <v>4</v>
      </c>
      <c r="B7" s="3" t="str">
        <f aca="false">IF(A7&lt;=Assumptions!$B$22,"Build","Selling")</f>
        <v>Build</v>
      </c>
      <c r="C7" s="24" t="n">
        <f aca="false">IF(A7&lt;=Assumptions!$B$22,0,IF(A7&lt;=12,Assumptions!$B$17,IF(A7&lt;=24,Assumptions!$B$18,Assumptions!$B$19)))*Assumptions!$B$23</f>
        <v>0</v>
      </c>
      <c r="D7" s="24" t="n">
        <f aca="false">D6*(1-Assumptions!$B$21)+C7</f>
        <v>0</v>
      </c>
      <c r="E7" s="25" t="n">
        <f aca="false">D7*Assumptions!$B$12/12</f>
        <v>0</v>
      </c>
      <c r="F7" s="25" t="n">
        <f aca="false">C7*Assumptions!$B$13</f>
        <v>0</v>
      </c>
      <c r="G7" s="28" t="n">
        <f aca="false">E7+F7</f>
        <v>0</v>
      </c>
      <c r="H7" s="25" t="n">
        <f aca="false">IF(A7&lt;=Assumptions!$B$22,INDEX(Budget!$B$16:$G$16,A7),0)</f>
        <v>127050</v>
      </c>
      <c r="I7" s="25" t="n">
        <f aca="false">D7*Assumptions!$B$14</f>
        <v>0</v>
      </c>
      <c r="J7" s="25" t="n">
        <f aca="false">IF(A7&gt;Assumptions!$B$22,Assumptions!$B$15,0)</f>
        <v>0</v>
      </c>
      <c r="K7" s="25" t="n">
        <f aca="false">IF(A7&gt;=5,Assumptions!$B$16,0)</f>
        <v>0</v>
      </c>
      <c r="L7" s="28" t="n">
        <f aca="false">H7+I7+J7+K7</f>
        <v>127050</v>
      </c>
      <c r="M7" s="28" t="n">
        <f aca="false">G7-L7</f>
        <v>-127050</v>
      </c>
      <c r="N7" s="25" t="n">
        <f aca="false">N6+M7</f>
        <v>-464887.5</v>
      </c>
      <c r="O7" s="35" t="n">
        <f aca="false">1/(1+Assumptions!$B$5)^(A7/12)</f>
        <v>0.962928392777089</v>
      </c>
      <c r="P7" s="25" t="n">
        <f aca="false">M7*O7</f>
        <v>-122340.052302329</v>
      </c>
      <c r="Q7" s="34" t="str">
        <f aca="false">IF(AND(N7&gt;=0,A7&gt;Assumptions!$B$22),A7,"")</f>
        <v/>
      </c>
      <c r="R7" s="34" t="str">
        <f aca="false">IF(AND(M7&gt;0,A7&gt;Assumptions!$B$22),A7,"")</f>
        <v/>
      </c>
    </row>
    <row r="8" customFormat="false" ht="15" hidden="false" customHeight="true" outlineLevel="0" collapsed="false">
      <c r="A8" s="34" t="n">
        <v>5</v>
      </c>
      <c r="B8" s="3" t="str">
        <f aca="false">IF(A8&lt;=Assumptions!$B$22,"Build","Selling")</f>
        <v>Build</v>
      </c>
      <c r="C8" s="24" t="n">
        <f aca="false">IF(A8&lt;=Assumptions!$B$22,0,IF(A8&lt;=12,Assumptions!$B$17,IF(A8&lt;=24,Assumptions!$B$18,Assumptions!$B$19)))*Assumptions!$B$23</f>
        <v>0</v>
      </c>
      <c r="D8" s="24" t="n">
        <f aca="false">D7*(1-Assumptions!$B$21)+C8</f>
        <v>0</v>
      </c>
      <c r="E8" s="25" t="n">
        <f aca="false">D8*Assumptions!$B$12/12</f>
        <v>0</v>
      </c>
      <c r="F8" s="25" t="n">
        <f aca="false">C8*Assumptions!$B$13</f>
        <v>0</v>
      </c>
      <c r="G8" s="28" t="n">
        <f aca="false">E8+F8</f>
        <v>0</v>
      </c>
      <c r="H8" s="25" t="n">
        <f aca="false">IF(A8&lt;=Assumptions!$B$22,INDEX(Budget!$B$16:$G$16,A8),0)</f>
        <v>174982.5</v>
      </c>
      <c r="I8" s="25" t="n">
        <f aca="false">D8*Assumptions!$B$14</f>
        <v>0</v>
      </c>
      <c r="J8" s="25" t="n">
        <f aca="false">IF(A8&gt;Assumptions!$B$22,Assumptions!$B$15,0)</f>
        <v>0</v>
      </c>
      <c r="K8" s="25" t="n">
        <f aca="false">IF(A8&gt;=5,Assumptions!$B$16,0)</f>
        <v>25000</v>
      </c>
      <c r="L8" s="28" t="n">
        <f aca="false">H8+I8+J8+K8</f>
        <v>199982.5</v>
      </c>
      <c r="M8" s="28" t="n">
        <f aca="false">G8-L8</f>
        <v>-199982.5</v>
      </c>
      <c r="N8" s="25" t="n">
        <f aca="false">N7+M8</f>
        <v>-664870</v>
      </c>
      <c r="O8" s="35" t="n">
        <f aca="false">1/(1+Assumptions!$B$5)^(A8/12)</f>
        <v>0.953877249075601</v>
      </c>
      <c r="P8" s="25" t="n">
        <f aca="false">M8*O8</f>
        <v>-190758.756963261</v>
      </c>
      <c r="Q8" s="34" t="str">
        <f aca="false">IF(AND(N8&gt;=0,A8&gt;Assumptions!$B$22),A8,"")</f>
        <v/>
      </c>
      <c r="R8" s="34" t="str">
        <f aca="false">IF(AND(M8&gt;0,A8&gt;Assumptions!$B$22),A8,"")</f>
        <v/>
      </c>
    </row>
    <row r="9" customFormat="false" ht="15" hidden="false" customHeight="true" outlineLevel="0" collapsed="false">
      <c r="A9" s="34" t="n">
        <v>6</v>
      </c>
      <c r="B9" s="3" t="str">
        <f aca="false">IF(A9&lt;=Assumptions!$B$22,"Build","Selling")</f>
        <v>Build</v>
      </c>
      <c r="C9" s="24" t="n">
        <f aca="false">IF(A9&lt;=Assumptions!$B$22,0,IF(A9&lt;=12,Assumptions!$B$17,IF(A9&lt;=24,Assumptions!$B$18,Assumptions!$B$19)))*Assumptions!$B$23</f>
        <v>0</v>
      </c>
      <c r="D9" s="24" t="n">
        <f aca="false">D8*(1-Assumptions!$B$21)+C9</f>
        <v>0</v>
      </c>
      <c r="E9" s="25" t="n">
        <f aca="false">D9*Assumptions!$B$12/12</f>
        <v>0</v>
      </c>
      <c r="F9" s="25" t="n">
        <f aca="false">C9*Assumptions!$B$13</f>
        <v>0</v>
      </c>
      <c r="G9" s="28" t="n">
        <f aca="false">E9+F9</f>
        <v>0</v>
      </c>
      <c r="H9" s="25" t="n">
        <f aca="false">IF(A9&lt;=Assumptions!$B$22,INDEX(Budget!$B$16:$G$16,A9),0)</f>
        <v>98463.75</v>
      </c>
      <c r="I9" s="25" t="n">
        <f aca="false">D9*Assumptions!$B$14</f>
        <v>0</v>
      </c>
      <c r="J9" s="25" t="n">
        <f aca="false">IF(A9&gt;Assumptions!$B$22,Assumptions!$B$15,0)</f>
        <v>0</v>
      </c>
      <c r="K9" s="25" t="n">
        <f aca="false">IF(A9&gt;=5,Assumptions!$B$16,0)</f>
        <v>25000</v>
      </c>
      <c r="L9" s="28" t="n">
        <f aca="false">H9+I9+J9+K9</f>
        <v>123463.75</v>
      </c>
      <c r="M9" s="28" t="n">
        <f aca="false">G9-L9</f>
        <v>-123463.75</v>
      </c>
      <c r="N9" s="25" t="n">
        <f aca="false">N8+M9</f>
        <v>-788333.75</v>
      </c>
      <c r="O9" s="35" t="n">
        <f aca="false">1/(1+Assumptions!$B$5)^(A9/12)</f>
        <v>0.944911182523068</v>
      </c>
      <c r="P9" s="25" t="n">
        <f aca="false">M9*O9</f>
        <v>-116662.278011232</v>
      </c>
      <c r="Q9" s="34" t="str">
        <f aca="false">IF(AND(N9&gt;=0,A9&gt;Assumptions!$B$22),A9,"")</f>
        <v/>
      </c>
      <c r="R9" s="34" t="str">
        <f aca="false">IF(AND(M9&gt;0,A9&gt;Assumptions!$B$22),A9,"")</f>
        <v/>
      </c>
    </row>
    <row r="10" customFormat="false" ht="15" hidden="false" customHeight="true" outlineLevel="0" collapsed="false">
      <c r="A10" s="34" t="n">
        <v>7</v>
      </c>
      <c r="B10" s="3" t="str">
        <f aca="false">IF(A10&lt;=Assumptions!$B$22,"Build","Selling")</f>
        <v>Selling</v>
      </c>
      <c r="C10" s="24" t="n">
        <f aca="false">IF(A10&lt;=Assumptions!$B$22,0,IF(A10&lt;=12,Assumptions!$B$17,IF(A10&lt;=24,Assumptions!$B$18,Assumptions!$B$19)))*Assumptions!$B$23</f>
        <v>1</v>
      </c>
      <c r="D10" s="24" t="n">
        <f aca="false">D9*(1-Assumptions!$B$21)+C10</f>
        <v>1</v>
      </c>
      <c r="E10" s="25" t="n">
        <f aca="false">D10*Assumptions!$B$12/12</f>
        <v>12500</v>
      </c>
      <c r="F10" s="25" t="n">
        <f aca="false">C10*Assumptions!$B$13</f>
        <v>60000</v>
      </c>
      <c r="G10" s="28" t="n">
        <f aca="false">E10+F10</f>
        <v>72500</v>
      </c>
      <c r="H10" s="25" t="n">
        <f aca="false">IF(A10&lt;=Assumptions!$B$22,INDEX(Budget!$B$16:$G$16,A10),0)</f>
        <v>0</v>
      </c>
      <c r="I10" s="25" t="n">
        <f aca="false">D10*Assumptions!$B$14</f>
        <v>2500</v>
      </c>
      <c r="J10" s="25" t="n">
        <f aca="false">IF(A10&gt;Assumptions!$B$22,Assumptions!$B$15,0)</f>
        <v>70000</v>
      </c>
      <c r="K10" s="25" t="n">
        <f aca="false">IF(A10&gt;=5,Assumptions!$B$16,0)</f>
        <v>25000</v>
      </c>
      <c r="L10" s="28" t="n">
        <f aca="false">H10+I10+J10+K10</f>
        <v>97500</v>
      </c>
      <c r="M10" s="28" t="n">
        <f aca="false">G10-L10</f>
        <v>-25000</v>
      </c>
      <c r="N10" s="25" t="n">
        <f aca="false">N9+M10</f>
        <v>-813333.75</v>
      </c>
      <c r="O10" s="35" t="n">
        <f aca="false">1/(1+Assumptions!$B$5)^(A10/12)</f>
        <v>0.936029393428145</v>
      </c>
      <c r="P10" s="25" t="n">
        <f aca="false">M10*O10</f>
        <v>-23400.7348357036</v>
      </c>
      <c r="Q10" s="34" t="str">
        <f aca="false">IF(AND(N10&gt;=0,A10&gt;Assumptions!$B$22),A10,"")</f>
        <v/>
      </c>
      <c r="R10" s="34" t="str">
        <f aca="false">IF(AND(M10&gt;0,A10&gt;Assumptions!$B$22),A10,"")</f>
        <v/>
      </c>
    </row>
    <row r="11" customFormat="false" ht="15" hidden="false" customHeight="true" outlineLevel="0" collapsed="false">
      <c r="A11" s="34" t="n">
        <v>8</v>
      </c>
      <c r="B11" s="3" t="str">
        <f aca="false">IF(A11&lt;=Assumptions!$B$22,"Build","Selling")</f>
        <v>Selling</v>
      </c>
      <c r="C11" s="24" t="n">
        <f aca="false">IF(A11&lt;=Assumptions!$B$22,0,IF(A11&lt;=12,Assumptions!$B$17,IF(A11&lt;=24,Assumptions!$B$18,Assumptions!$B$19)))*Assumptions!$B$23</f>
        <v>1</v>
      </c>
      <c r="D11" s="24" t="n">
        <f aca="false">D10*(1-Assumptions!$B$21)+C11</f>
        <v>1.99573468122244</v>
      </c>
      <c r="E11" s="25" t="n">
        <f aca="false">D11*Assumptions!$B$12/12</f>
        <v>24946.6835152805</v>
      </c>
      <c r="F11" s="25" t="n">
        <f aca="false">C11*Assumptions!$B$13</f>
        <v>60000</v>
      </c>
      <c r="G11" s="28" t="n">
        <f aca="false">E11+F11</f>
        <v>84946.6835152805</v>
      </c>
      <c r="H11" s="25" t="n">
        <f aca="false">IF(A11&lt;=Assumptions!$B$22,INDEX(Budget!$B$16:$G$16,A11),0)</f>
        <v>0</v>
      </c>
      <c r="I11" s="25" t="n">
        <f aca="false">D11*Assumptions!$B$14</f>
        <v>4989.3367030561</v>
      </c>
      <c r="J11" s="25" t="n">
        <f aca="false">IF(A11&gt;Assumptions!$B$22,Assumptions!$B$15,0)</f>
        <v>70000</v>
      </c>
      <c r="K11" s="25" t="n">
        <f aca="false">IF(A11&gt;=5,Assumptions!$B$16,0)</f>
        <v>25000</v>
      </c>
      <c r="L11" s="28" t="n">
        <f aca="false">H11+I11+J11+K11</f>
        <v>99989.3367030561</v>
      </c>
      <c r="M11" s="28" t="n">
        <f aca="false">G11-L11</f>
        <v>-15042.6531877756</v>
      </c>
      <c r="N11" s="25" t="n">
        <f aca="false">N10+M11</f>
        <v>-828376.403187776</v>
      </c>
      <c r="O11" s="35" t="n">
        <f aca="false">1/(1+Assumptions!$B$5)^(A11/12)</f>
        <v>0.927231089616269</v>
      </c>
      <c r="P11" s="25" t="n">
        <f aca="false">M11*O11</f>
        <v>-13948.0157060208</v>
      </c>
      <c r="Q11" s="34" t="str">
        <f aca="false">IF(AND(N11&gt;=0,A11&gt;Assumptions!$B$22),A11,"")</f>
        <v/>
      </c>
      <c r="R11" s="34" t="str">
        <f aca="false">IF(AND(M11&gt;0,A11&gt;Assumptions!$B$22),A11,"")</f>
        <v/>
      </c>
    </row>
    <row r="12" customFormat="false" ht="15" hidden="false" customHeight="true" outlineLevel="0" collapsed="false">
      <c r="A12" s="34" t="n">
        <v>9</v>
      </c>
      <c r="B12" s="3" t="str">
        <f aca="false">IF(A12&lt;=Assumptions!$B$22,"Build","Selling")</f>
        <v>Selling</v>
      </c>
      <c r="C12" s="24" t="n">
        <f aca="false">IF(A12&lt;=Assumptions!$B$22,0,IF(A12&lt;=12,Assumptions!$B$17,IF(A12&lt;=24,Assumptions!$B$18,Assumptions!$B$19)))*Assumptions!$B$23</f>
        <v>1</v>
      </c>
      <c r="D12" s="24" t="n">
        <f aca="false">D11*(1-Assumptions!$B$21)+C12</f>
        <v>2.98722223661159</v>
      </c>
      <c r="E12" s="25" t="n">
        <f aca="false">D12*Assumptions!$B$12/12</f>
        <v>37340.2779576449</v>
      </c>
      <c r="F12" s="25" t="n">
        <f aca="false">C12*Assumptions!$B$13</f>
        <v>60000</v>
      </c>
      <c r="G12" s="28" t="n">
        <f aca="false">E12+F12</f>
        <v>97340.2779576449</v>
      </c>
      <c r="H12" s="25" t="n">
        <f aca="false">IF(A12&lt;=Assumptions!$B$22,INDEX(Budget!$B$16:$G$16,A12),0)</f>
        <v>0</v>
      </c>
      <c r="I12" s="25" t="n">
        <f aca="false">D12*Assumptions!$B$14</f>
        <v>7468.05559152898</v>
      </c>
      <c r="J12" s="25" t="n">
        <f aca="false">IF(A12&gt;Assumptions!$B$22,Assumptions!$B$15,0)</f>
        <v>70000</v>
      </c>
      <c r="K12" s="25" t="n">
        <f aca="false">IF(A12&gt;=5,Assumptions!$B$16,0)</f>
        <v>25000</v>
      </c>
      <c r="L12" s="28" t="n">
        <f aca="false">H12+I12+J12+K12</f>
        <v>102468.055591529</v>
      </c>
      <c r="M12" s="28" t="n">
        <f aca="false">G12-L12</f>
        <v>-5127.77763388409</v>
      </c>
      <c r="N12" s="25" t="n">
        <f aca="false">N11+M12</f>
        <v>-833504.18082166</v>
      </c>
      <c r="O12" s="35" t="n">
        <f aca="false">1/(1+Assumptions!$B$5)^(A12/12)</f>
        <v>0.918515486359</v>
      </c>
      <c r="P12" s="25" t="n">
        <f aca="false">M12*O12</f>
        <v>-4709.94316732785</v>
      </c>
      <c r="Q12" s="34" t="str">
        <f aca="false">IF(AND(N12&gt;=0,A12&gt;Assumptions!$B$22),A12,"")</f>
        <v/>
      </c>
      <c r="R12" s="34" t="str">
        <f aca="false">IF(AND(M12&gt;0,A12&gt;Assumptions!$B$22),A12,"")</f>
        <v/>
      </c>
    </row>
    <row r="13" customFormat="false" ht="15" hidden="false" customHeight="true" outlineLevel="0" collapsed="false">
      <c r="A13" s="34" t="n">
        <v>10</v>
      </c>
      <c r="B13" s="3" t="str">
        <f aca="false">IF(A13&lt;=Assumptions!$B$22,"Build","Selling")</f>
        <v>Selling</v>
      </c>
      <c r="C13" s="24" t="n">
        <f aca="false">IF(A13&lt;=Assumptions!$B$22,0,IF(A13&lt;=12,Assumptions!$B$17,IF(A13&lt;=24,Assumptions!$B$18,Assumptions!$B$19)))*Assumptions!$B$23</f>
        <v>1</v>
      </c>
      <c r="D13" s="24" t="n">
        <f aca="false">D12*(1-Assumptions!$B$21)+C13</f>
        <v>3.97448078151303</v>
      </c>
      <c r="E13" s="25" t="n">
        <f aca="false">D13*Assumptions!$B$12/12</f>
        <v>49681.0097689128</v>
      </c>
      <c r="F13" s="25" t="n">
        <f aca="false">C13*Assumptions!$B$13</f>
        <v>60000</v>
      </c>
      <c r="G13" s="28" t="n">
        <f aca="false">E13+F13</f>
        <v>109681.009768913</v>
      </c>
      <c r="H13" s="25" t="n">
        <f aca="false">IF(A13&lt;=Assumptions!$B$22,INDEX(Budget!$B$16:$G$16,A13),0)</f>
        <v>0</v>
      </c>
      <c r="I13" s="25" t="n">
        <f aca="false">D13*Assumptions!$B$14</f>
        <v>9936.20195378257</v>
      </c>
      <c r="J13" s="25" t="n">
        <f aca="false">IF(A13&gt;Assumptions!$B$22,Assumptions!$B$15,0)</f>
        <v>70000</v>
      </c>
      <c r="K13" s="25" t="n">
        <f aca="false">IF(A13&gt;=5,Assumptions!$B$16,0)</f>
        <v>25000</v>
      </c>
      <c r="L13" s="28" t="n">
        <f aca="false">H13+I13+J13+K13</f>
        <v>104936.201953783</v>
      </c>
      <c r="M13" s="28" t="n">
        <f aca="false">G13-L13</f>
        <v>4744.80781513026</v>
      </c>
      <c r="N13" s="25" t="n">
        <f aca="false">N12+M13</f>
        <v>-828759.37300653</v>
      </c>
      <c r="O13" s="35" t="n">
        <f aca="false">1/(1+Assumptions!$B$5)^(A13/12)</f>
        <v>0.909881806304037</v>
      </c>
      <c r="P13" s="25" t="n">
        <f aca="false">M13*O13</f>
        <v>4317.21430539623</v>
      </c>
      <c r="Q13" s="34" t="str">
        <f aca="false">IF(AND(N13&gt;=0,A13&gt;Assumptions!$B$22),A13,"")</f>
        <v/>
      </c>
      <c r="R13" s="34" t="n">
        <f aca="false">IF(AND(M13&gt;0,A13&gt;Assumptions!$B$22),A13,"")</f>
        <v>10</v>
      </c>
    </row>
    <row r="14" customFormat="false" ht="15" hidden="false" customHeight="true" outlineLevel="0" collapsed="false">
      <c r="A14" s="34" t="n">
        <v>11</v>
      </c>
      <c r="B14" s="3" t="str">
        <f aca="false">IF(A14&lt;=Assumptions!$B$22,"Build","Selling")</f>
        <v>Selling</v>
      </c>
      <c r="C14" s="24" t="n">
        <f aca="false">IF(A14&lt;=Assumptions!$B$22,0,IF(A14&lt;=12,Assumptions!$B$17,IF(A14&lt;=24,Assumptions!$B$18,Assumptions!$B$19)))*Assumptions!$B$23</f>
        <v>1</v>
      </c>
      <c r="D14" s="24" t="n">
        <f aca="false">D13*(1-Assumptions!$B$21)+C14</f>
        <v>4.95752835400459</v>
      </c>
      <c r="E14" s="25" t="n">
        <f aca="false">D14*Assumptions!$B$12/12</f>
        <v>61969.1044250573</v>
      </c>
      <c r="F14" s="25" t="n">
        <f aca="false">C14*Assumptions!$B$13</f>
        <v>60000</v>
      </c>
      <c r="G14" s="28" t="n">
        <f aca="false">E14+F14</f>
        <v>121969.104425057</v>
      </c>
      <c r="H14" s="25" t="n">
        <f aca="false">IF(A14&lt;=Assumptions!$B$22,INDEX(Budget!$B$16:$G$16,A14),0)</f>
        <v>0</v>
      </c>
      <c r="I14" s="25" t="n">
        <f aca="false">D14*Assumptions!$B$14</f>
        <v>12393.8208850115</v>
      </c>
      <c r="J14" s="25" t="n">
        <f aca="false">IF(A14&gt;Assumptions!$B$22,Assumptions!$B$15,0)</f>
        <v>70000</v>
      </c>
      <c r="K14" s="25" t="n">
        <f aca="false">IF(A14&gt;=5,Assumptions!$B$16,0)</f>
        <v>25000</v>
      </c>
      <c r="L14" s="28" t="n">
        <f aca="false">H14+I14+J14+K14</f>
        <v>107393.820885011</v>
      </c>
      <c r="M14" s="28" t="n">
        <f aca="false">G14-L14</f>
        <v>14575.2835400459</v>
      </c>
      <c r="N14" s="25" t="n">
        <f aca="false">N13+M14</f>
        <v>-814184.089466484</v>
      </c>
      <c r="O14" s="35" t="n">
        <f aca="false">1/(1+Assumptions!$B$5)^(A14/12)</f>
        <v>0.901329279405878</v>
      </c>
      <c r="P14" s="25" t="n">
        <f aca="false">M14*O14</f>
        <v>13137.1298102859</v>
      </c>
      <c r="Q14" s="34" t="str">
        <f aca="false">IF(AND(N14&gt;=0,A14&gt;Assumptions!$B$22),A14,"")</f>
        <v/>
      </c>
      <c r="R14" s="34" t="n">
        <f aca="false">IF(AND(M14&gt;0,A14&gt;Assumptions!$B$22),A14,"")</f>
        <v>11</v>
      </c>
    </row>
    <row r="15" customFormat="false" ht="15" hidden="false" customHeight="true" outlineLevel="0" collapsed="false">
      <c r="A15" s="34" t="n">
        <v>12</v>
      </c>
      <c r="B15" s="3" t="str">
        <f aca="false">IF(A15&lt;=Assumptions!$B$22,"Build","Selling")</f>
        <v>Selling</v>
      </c>
      <c r="C15" s="24" t="n">
        <f aca="false">IF(A15&lt;=Assumptions!$B$22,0,IF(A15&lt;=12,Assumptions!$B$17,IF(A15&lt;=24,Assumptions!$B$18,Assumptions!$B$19)))*Assumptions!$B$23</f>
        <v>1</v>
      </c>
      <c r="D15" s="24" t="n">
        <f aca="false">D14*(1-Assumptions!$B$21)+C15</f>
        <v>5.93638291522596</v>
      </c>
      <c r="E15" s="25" t="n">
        <f aca="false">D15*Assumptions!$B$12/12</f>
        <v>74204.7864403245</v>
      </c>
      <c r="F15" s="25" t="n">
        <f aca="false">C15*Assumptions!$B$13</f>
        <v>60000</v>
      </c>
      <c r="G15" s="28" t="n">
        <f aca="false">E15+F15</f>
        <v>134204.786440325</v>
      </c>
      <c r="H15" s="25" t="n">
        <f aca="false">IF(A15&lt;=Assumptions!$B$22,INDEX(Budget!$B$16:$G$16,A15),0)</f>
        <v>0</v>
      </c>
      <c r="I15" s="25" t="n">
        <f aca="false">D15*Assumptions!$B$14</f>
        <v>14840.9572880649</v>
      </c>
      <c r="J15" s="25" t="n">
        <f aca="false">IF(A15&gt;Assumptions!$B$22,Assumptions!$B$15,0)</f>
        <v>70000</v>
      </c>
      <c r="K15" s="25" t="n">
        <f aca="false">IF(A15&gt;=5,Assumptions!$B$16,0)</f>
        <v>25000</v>
      </c>
      <c r="L15" s="28" t="n">
        <f aca="false">H15+I15+J15+K15</f>
        <v>109840.957288065</v>
      </c>
      <c r="M15" s="28" t="n">
        <f aca="false">G15-L15</f>
        <v>24363.8291522596</v>
      </c>
      <c r="N15" s="25" t="n">
        <f aca="false">N14+M15</f>
        <v>-789820.260314224</v>
      </c>
      <c r="O15" s="35" t="n">
        <f aca="false">1/(1+Assumptions!$B$5)^(A15/12)</f>
        <v>0.892857142857143</v>
      </c>
      <c r="P15" s="25" t="n">
        <f aca="false">M15*O15</f>
        <v>21753.4188859461</v>
      </c>
      <c r="Q15" s="34" t="str">
        <f aca="false">IF(AND(N15&gt;=0,A15&gt;Assumptions!$B$22),A15,"")</f>
        <v/>
      </c>
      <c r="R15" s="34" t="n">
        <f aca="false">IF(AND(M15&gt;0,A15&gt;Assumptions!$B$22),A15,"")</f>
        <v>12</v>
      </c>
    </row>
    <row r="16" customFormat="false" ht="15" hidden="false" customHeight="true" outlineLevel="0" collapsed="false">
      <c r="A16" s="34" t="n">
        <v>13</v>
      </c>
      <c r="B16" s="3" t="str">
        <f aca="false">IF(A16&lt;=Assumptions!$B$22,"Build","Selling")</f>
        <v>Selling</v>
      </c>
      <c r="C16" s="24" t="n">
        <f aca="false">IF(A16&lt;=Assumptions!$B$22,0,IF(A16&lt;=12,Assumptions!$B$17,IF(A16&lt;=24,Assumptions!$B$18,Assumptions!$B$19)))*Assumptions!$B$23</f>
        <v>2</v>
      </c>
      <c r="D16" s="24" t="n">
        <f aca="false">D15*(1-Assumptions!$B$21)+C16</f>
        <v>7.91106234970686</v>
      </c>
      <c r="E16" s="25" t="n">
        <f aca="false">D16*Assumptions!$B$12/12</f>
        <v>98888.2793713357</v>
      </c>
      <c r="F16" s="25" t="n">
        <f aca="false">C16*Assumptions!$B$13</f>
        <v>120000</v>
      </c>
      <c r="G16" s="28" t="n">
        <f aca="false">E16+F16</f>
        <v>218888.279371336</v>
      </c>
      <c r="H16" s="25" t="n">
        <f aca="false">IF(A16&lt;=Assumptions!$B$22,INDEX(Budget!$B$16:$G$16,A16),0)</f>
        <v>0</v>
      </c>
      <c r="I16" s="25" t="n">
        <f aca="false">D16*Assumptions!$B$14</f>
        <v>19777.6558742671</v>
      </c>
      <c r="J16" s="25" t="n">
        <f aca="false">IF(A16&gt;Assumptions!$B$22,Assumptions!$B$15,0)</f>
        <v>70000</v>
      </c>
      <c r="K16" s="25" t="n">
        <f aca="false">IF(A16&gt;=5,Assumptions!$B$16,0)</f>
        <v>25000</v>
      </c>
      <c r="L16" s="28" t="n">
        <f aca="false">H16+I16+J16+K16</f>
        <v>114777.655874267</v>
      </c>
      <c r="M16" s="28" t="n">
        <f aca="false">G16-L16</f>
        <v>104110.623497069</v>
      </c>
      <c r="N16" s="25" t="n">
        <f aca="false">N15+M16</f>
        <v>-685709.636817156</v>
      </c>
      <c r="O16" s="35" t="n">
        <f aca="false">1/(1+Assumptions!$B$5)^(A16/12)</f>
        <v>0.884464641020539</v>
      </c>
      <c r="P16" s="25" t="n">
        <f aca="false">M16*O16</f>
        <v>92082.1652377592</v>
      </c>
      <c r="Q16" s="34" t="str">
        <f aca="false">IF(AND(N16&gt;=0,A16&gt;Assumptions!$B$22),A16,"")</f>
        <v/>
      </c>
      <c r="R16" s="34" t="n">
        <f aca="false">IF(AND(M16&gt;0,A16&gt;Assumptions!$B$22),A16,"")</f>
        <v>13</v>
      </c>
    </row>
    <row r="17" customFormat="false" ht="15" hidden="false" customHeight="true" outlineLevel="0" collapsed="false">
      <c r="A17" s="34" t="n">
        <v>14</v>
      </c>
      <c r="B17" s="3" t="str">
        <f aca="false">IF(A17&lt;=Assumptions!$B$22,"Build","Selling")</f>
        <v>Selling</v>
      </c>
      <c r="C17" s="24" t="n">
        <f aca="false">IF(A17&lt;=Assumptions!$B$22,0,IF(A17&lt;=12,Assumptions!$B$17,IF(A17&lt;=24,Assumptions!$B$18,Assumptions!$B$19)))*Assumptions!$B$23</f>
        <v>2</v>
      </c>
      <c r="D17" s="24" t="n">
        <f aca="false">D16*(1-Assumptions!$B$21)+C17</f>
        <v>9.8773191469162</v>
      </c>
      <c r="E17" s="25" t="n">
        <f aca="false">D17*Assumptions!$B$12/12</f>
        <v>123466.489336453</v>
      </c>
      <c r="F17" s="25" t="n">
        <f aca="false">C17*Assumptions!$B$13</f>
        <v>120000</v>
      </c>
      <c r="G17" s="28" t="n">
        <f aca="false">E17+F17</f>
        <v>243466.489336453</v>
      </c>
      <c r="H17" s="25" t="n">
        <f aca="false">IF(A17&lt;=Assumptions!$B$22,INDEX(Budget!$B$16:$G$16,A17),0)</f>
        <v>0</v>
      </c>
      <c r="I17" s="25" t="n">
        <f aca="false">D17*Assumptions!$B$14</f>
        <v>24693.2978672905</v>
      </c>
      <c r="J17" s="25" t="n">
        <f aca="false">IF(A17&gt;Assumptions!$B$22,Assumptions!$B$15,0)</f>
        <v>70000</v>
      </c>
      <c r="K17" s="25" t="n">
        <f aca="false">IF(A17&gt;=5,Assumptions!$B$16,0)</f>
        <v>25000</v>
      </c>
      <c r="L17" s="28" t="n">
        <f aca="false">H17+I17+J17+K17</f>
        <v>119693.297867291</v>
      </c>
      <c r="M17" s="28" t="n">
        <f aca="false">G17-L17</f>
        <v>123773.191469162</v>
      </c>
      <c r="N17" s="25" t="n">
        <f aca="false">N16+M17</f>
        <v>-561936.445347994</v>
      </c>
      <c r="O17" s="35" t="n">
        <f aca="false">1/(1+Assumptions!$B$5)^(A17/12)</f>
        <v>0.876151025361461</v>
      </c>
      <c r="P17" s="25" t="n">
        <f aca="false">M17*O17</f>
        <v>108444.008617967</v>
      </c>
      <c r="Q17" s="34" t="str">
        <f aca="false">IF(AND(N17&gt;=0,A17&gt;Assumptions!$B$22),A17,"")</f>
        <v/>
      </c>
      <c r="R17" s="34" t="n">
        <f aca="false">IF(AND(M17&gt;0,A17&gt;Assumptions!$B$22),A17,"")</f>
        <v>14</v>
      </c>
    </row>
    <row r="18" customFormat="false" ht="15" hidden="false" customHeight="true" outlineLevel="0" collapsed="false">
      <c r="A18" s="34" t="n">
        <v>15</v>
      </c>
      <c r="B18" s="3" t="str">
        <f aca="false">IF(A18&lt;=Assumptions!$B$22,"Build","Selling")</f>
        <v>Selling</v>
      </c>
      <c r="C18" s="24" t="n">
        <f aca="false">IF(A18&lt;=Assumptions!$B$22,0,IF(A18&lt;=12,Assumptions!$B$17,IF(A18&lt;=24,Assumptions!$B$18,Assumptions!$B$19)))*Assumptions!$B$23</f>
        <v>2</v>
      </c>
      <c r="D18" s="24" t="n">
        <f aca="false">D17*(1-Assumptions!$B$21)+C18</f>
        <v>11.8351892320869</v>
      </c>
      <c r="E18" s="25" t="n">
        <f aca="false">D18*Assumptions!$B$12/12</f>
        <v>147939.865401086</v>
      </c>
      <c r="F18" s="25" t="n">
        <f aca="false">C18*Assumptions!$B$13</f>
        <v>120000</v>
      </c>
      <c r="G18" s="28" t="n">
        <f aca="false">E18+F18</f>
        <v>267939.865401086</v>
      </c>
      <c r="H18" s="25" t="n">
        <f aca="false">IF(A18&lt;=Assumptions!$B$22,INDEX(Budget!$B$16:$G$16,A18),0)</f>
        <v>0</v>
      </c>
      <c r="I18" s="25" t="n">
        <f aca="false">D18*Assumptions!$B$14</f>
        <v>29587.9730802172</v>
      </c>
      <c r="J18" s="25" t="n">
        <f aca="false">IF(A18&gt;Assumptions!$B$22,Assumptions!$B$15,0)</f>
        <v>70000</v>
      </c>
      <c r="K18" s="25" t="n">
        <f aca="false">IF(A18&gt;=5,Assumptions!$B$16,0)</f>
        <v>25000</v>
      </c>
      <c r="L18" s="28" t="n">
        <f aca="false">H18+I18+J18+K18</f>
        <v>124587.973080217</v>
      </c>
      <c r="M18" s="28" t="n">
        <f aca="false">G18-L18</f>
        <v>143351.892320869</v>
      </c>
      <c r="N18" s="25" t="n">
        <f aca="false">N17+M18</f>
        <v>-418584.553027125</v>
      </c>
      <c r="O18" s="35" t="n">
        <f aca="false">1/(1+Assumptions!$B$5)^(A18/12)</f>
        <v>0.867915554381234</v>
      </c>
      <c r="P18" s="25" t="n">
        <f aca="false">M18*O18</f>
        <v>124417.337095266</v>
      </c>
      <c r="Q18" s="34" t="str">
        <f aca="false">IF(AND(N18&gt;=0,A18&gt;Assumptions!$B$22),A18,"")</f>
        <v/>
      </c>
      <c r="R18" s="34" t="n">
        <f aca="false">IF(AND(M18&gt;0,A18&gt;Assumptions!$B$22),A18,"")</f>
        <v>15</v>
      </c>
    </row>
    <row r="19" customFormat="false" ht="15" hidden="false" customHeight="true" outlineLevel="0" collapsed="false">
      <c r="A19" s="34" t="n">
        <v>16</v>
      </c>
      <c r="B19" s="3" t="str">
        <f aca="false">IF(A19&lt;=Assumptions!$B$22,"Build","Selling")</f>
        <v>Selling</v>
      </c>
      <c r="C19" s="24" t="n">
        <f aca="false">IF(A19&lt;=Assumptions!$B$22,0,IF(A19&lt;=12,Assumptions!$B$17,IF(A19&lt;=24,Assumptions!$B$18,Assumptions!$B$19)))*Assumptions!$B$23</f>
        <v>2</v>
      </c>
      <c r="D19" s="24" t="n">
        <f aca="false">D18*(1-Assumptions!$B$21)+C19</f>
        <v>13.7847083772193</v>
      </c>
      <c r="E19" s="25" t="n">
        <f aca="false">D19*Assumptions!$B$12/12</f>
        <v>172308.854715241</v>
      </c>
      <c r="F19" s="25" t="n">
        <f aca="false">C19*Assumptions!$B$13</f>
        <v>120000</v>
      </c>
      <c r="G19" s="28" t="n">
        <f aca="false">E19+F19</f>
        <v>292308.854715241</v>
      </c>
      <c r="H19" s="25" t="n">
        <f aca="false">IF(A19&lt;=Assumptions!$B$22,INDEX(Budget!$B$16:$G$16,A19),0)</f>
        <v>0</v>
      </c>
      <c r="I19" s="25" t="n">
        <f aca="false">D19*Assumptions!$B$14</f>
        <v>34461.7709430482</v>
      </c>
      <c r="J19" s="25" t="n">
        <f aca="false">IF(A19&gt;Assumptions!$B$22,Assumptions!$B$15,0)</f>
        <v>70000</v>
      </c>
      <c r="K19" s="25" t="n">
        <f aca="false">IF(A19&gt;=5,Assumptions!$B$16,0)</f>
        <v>25000</v>
      </c>
      <c r="L19" s="28" t="n">
        <f aca="false">H19+I19+J19+K19</f>
        <v>129461.770943048</v>
      </c>
      <c r="M19" s="28" t="n">
        <f aca="false">G19-L19</f>
        <v>162847.083772193</v>
      </c>
      <c r="N19" s="25" t="n">
        <f aca="false">N18+M19</f>
        <v>-255737.469254932</v>
      </c>
      <c r="O19" s="35" t="n">
        <f aca="false">1/(1+Assumptions!$B$5)^(A19/12)</f>
        <v>0.859757493550973</v>
      </c>
      <c r="P19" s="25" t="n">
        <f aca="false">M19*O19</f>
        <v>140009.000576066</v>
      </c>
      <c r="Q19" s="34" t="str">
        <f aca="false">IF(AND(N19&gt;=0,A19&gt;Assumptions!$B$22),A19,"")</f>
        <v/>
      </c>
      <c r="R19" s="34" t="n">
        <f aca="false">IF(AND(M19&gt;0,A19&gt;Assumptions!$B$22),A19,"")</f>
        <v>16</v>
      </c>
    </row>
    <row r="20" customFormat="false" ht="15" hidden="false" customHeight="true" outlineLevel="0" collapsed="false">
      <c r="A20" s="34" t="n">
        <v>17</v>
      </c>
      <c r="B20" s="3" t="str">
        <f aca="false">IF(A20&lt;=Assumptions!$B$22,"Build","Selling")</f>
        <v>Selling</v>
      </c>
      <c r="C20" s="24" t="n">
        <f aca="false">IF(A20&lt;=Assumptions!$B$22,0,IF(A20&lt;=12,Assumptions!$B$17,IF(A20&lt;=24,Assumptions!$B$18,Assumptions!$B$19)))*Assumptions!$B$23</f>
        <v>2</v>
      </c>
      <c r="D20" s="24" t="n">
        <f aca="false">D19*(1-Assumptions!$B$21)+C20</f>
        <v>15.7259122017347</v>
      </c>
      <c r="E20" s="25" t="n">
        <f aca="false">D20*Assumptions!$B$12/12</f>
        <v>196573.902521684</v>
      </c>
      <c r="F20" s="25" t="n">
        <f aca="false">C20*Assumptions!$B$13</f>
        <v>120000</v>
      </c>
      <c r="G20" s="28" t="n">
        <f aca="false">E20+F20</f>
        <v>316573.902521684</v>
      </c>
      <c r="H20" s="25" t="n">
        <f aca="false">IF(A20&lt;=Assumptions!$B$22,INDEX(Budget!$B$16:$G$16,A20),0)</f>
        <v>0</v>
      </c>
      <c r="I20" s="25" t="n">
        <f aca="false">D20*Assumptions!$B$14</f>
        <v>39314.7805043369</v>
      </c>
      <c r="J20" s="25" t="n">
        <f aca="false">IF(A20&gt;Assumptions!$B$22,Assumptions!$B$15,0)</f>
        <v>70000</v>
      </c>
      <c r="K20" s="25" t="n">
        <f aca="false">IF(A20&gt;=5,Assumptions!$B$16,0)</f>
        <v>25000</v>
      </c>
      <c r="L20" s="28" t="n">
        <f aca="false">H20+I20+J20+K20</f>
        <v>134314.780504337</v>
      </c>
      <c r="M20" s="28" t="n">
        <f aca="false">G20-L20</f>
        <v>182259.122017347</v>
      </c>
      <c r="N20" s="25" t="n">
        <f aca="false">N19+M20</f>
        <v>-73478.3472375841</v>
      </c>
      <c r="O20" s="35" t="n">
        <f aca="false">1/(1+Assumptions!$B$5)^(A20/12)</f>
        <v>0.851676115246073</v>
      </c>
      <c r="P20" s="25" t="n">
        <f aca="false">M20*O20</f>
        <v>155225.741007894</v>
      </c>
      <c r="Q20" s="34" t="str">
        <f aca="false">IF(AND(N20&gt;=0,A20&gt;Assumptions!$B$22),A20,"")</f>
        <v/>
      </c>
      <c r="R20" s="34" t="n">
        <f aca="false">IF(AND(M20&gt;0,A20&gt;Assumptions!$B$22),A20,"")</f>
        <v>17</v>
      </c>
    </row>
    <row r="21" customFormat="false" ht="15" hidden="false" customHeight="true" outlineLevel="0" collapsed="false">
      <c r="A21" s="34" t="n">
        <v>18</v>
      </c>
      <c r="B21" s="3" t="str">
        <f aca="false">IF(A21&lt;=Assumptions!$B$22,"Build","Selling")</f>
        <v>Selling</v>
      </c>
      <c r="C21" s="24" t="n">
        <f aca="false">IF(A21&lt;=Assumptions!$B$22,0,IF(A21&lt;=12,Assumptions!$B$17,IF(A21&lt;=24,Assumptions!$B$18,Assumptions!$B$19)))*Assumptions!$B$23</f>
        <v>2</v>
      </c>
      <c r="D21" s="24" t="n">
        <f aca="false">D20*(1-Assumptions!$B$21)+C21</f>
        <v>17.6588361731264</v>
      </c>
      <c r="E21" s="25" t="n">
        <f aca="false">D21*Assumptions!$B$12/12</f>
        <v>220735.45216408</v>
      </c>
      <c r="F21" s="25" t="n">
        <f aca="false">C21*Assumptions!$B$13</f>
        <v>120000</v>
      </c>
      <c r="G21" s="28" t="n">
        <f aca="false">E21+F21</f>
        <v>340735.45216408</v>
      </c>
      <c r="H21" s="25" t="n">
        <f aca="false">IF(A21&lt;=Assumptions!$B$22,INDEX(Budget!$B$16:$G$16,A21),0)</f>
        <v>0</v>
      </c>
      <c r="I21" s="25" t="n">
        <f aca="false">D21*Assumptions!$B$14</f>
        <v>44147.090432816</v>
      </c>
      <c r="J21" s="25" t="n">
        <f aca="false">IF(A21&gt;Assumptions!$B$22,Assumptions!$B$15,0)</f>
        <v>70000</v>
      </c>
      <c r="K21" s="25" t="n">
        <f aca="false">IF(A21&gt;=5,Assumptions!$B$16,0)</f>
        <v>25000</v>
      </c>
      <c r="L21" s="28" t="n">
        <f aca="false">H21+I21+J21+K21</f>
        <v>139147.090432816</v>
      </c>
      <c r="M21" s="28" t="n">
        <f aca="false">G21-L21</f>
        <v>201588.361731264</v>
      </c>
      <c r="N21" s="25" t="n">
        <f aca="false">N20+M21</f>
        <v>128110.01449368</v>
      </c>
      <c r="O21" s="35" t="n">
        <f aca="false">1/(1+Assumptions!$B$5)^(A21/12)</f>
        <v>0.843670698681311</v>
      </c>
      <c r="P21" s="25" t="n">
        <f aca="false">M21*O21</f>
        <v>170074.193987836</v>
      </c>
      <c r="Q21" s="34" t="n">
        <f aca="false">IF(AND(N21&gt;=0,A21&gt;Assumptions!$B$22),A21,"")</f>
        <v>18</v>
      </c>
      <c r="R21" s="34" t="n">
        <f aca="false">IF(AND(M21&gt;0,A21&gt;Assumptions!$B$22),A21,"")</f>
        <v>18</v>
      </c>
    </row>
    <row r="22" customFormat="false" ht="15" hidden="false" customHeight="true" outlineLevel="0" collapsed="false">
      <c r="A22" s="34" t="n">
        <v>19</v>
      </c>
      <c r="B22" s="3" t="str">
        <f aca="false">IF(A22&lt;=Assumptions!$B$22,"Build","Selling")</f>
        <v>Selling</v>
      </c>
      <c r="C22" s="24" t="n">
        <f aca="false">IF(A22&lt;=Assumptions!$B$22,0,IF(A22&lt;=12,Assumptions!$B$17,IF(A22&lt;=24,Assumptions!$B$18,Assumptions!$B$19)))*Assumptions!$B$23</f>
        <v>2</v>
      </c>
      <c r="D22" s="24" t="n">
        <f aca="false">D21*(1-Assumptions!$B$21)+C22</f>
        <v>19.5835156076073</v>
      </c>
      <c r="E22" s="25" t="n">
        <f aca="false">D22*Assumptions!$B$12/12</f>
        <v>244793.945095091</v>
      </c>
      <c r="F22" s="25" t="n">
        <f aca="false">C22*Assumptions!$B$13</f>
        <v>120000</v>
      </c>
      <c r="G22" s="28" t="n">
        <f aca="false">E22+F22</f>
        <v>364793.945095091</v>
      </c>
      <c r="H22" s="25" t="n">
        <f aca="false">IF(A22&lt;=Assumptions!$B$22,INDEX(Budget!$B$16:$G$16,A22),0)</f>
        <v>0</v>
      </c>
      <c r="I22" s="25" t="n">
        <f aca="false">D22*Assumptions!$B$14</f>
        <v>48958.7890190183</v>
      </c>
      <c r="J22" s="25" t="n">
        <f aca="false">IF(A22&gt;Assumptions!$B$22,Assumptions!$B$15,0)</f>
        <v>70000</v>
      </c>
      <c r="K22" s="25" t="n">
        <f aca="false">IF(A22&gt;=5,Assumptions!$B$16,0)</f>
        <v>25000</v>
      </c>
      <c r="L22" s="28" t="n">
        <f aca="false">H22+I22+J22+K22</f>
        <v>143958.789019018</v>
      </c>
      <c r="M22" s="28" t="n">
        <f aca="false">G22-L22</f>
        <v>220835.156076073</v>
      </c>
      <c r="N22" s="25" t="n">
        <f aca="false">N21+M22</f>
        <v>348945.170569753</v>
      </c>
      <c r="O22" s="35" t="n">
        <f aca="false">1/(1+Assumptions!$B$5)^(A22/12)</f>
        <v>0.835740529846558</v>
      </c>
      <c r="P22" s="25" t="n">
        <f aca="false">M22*O22</f>
        <v>184560.890347765</v>
      </c>
      <c r="Q22" s="34" t="n">
        <f aca="false">IF(AND(N22&gt;=0,A22&gt;Assumptions!$B$22),A22,"")</f>
        <v>19</v>
      </c>
      <c r="R22" s="34" t="n">
        <f aca="false">IF(AND(M22&gt;0,A22&gt;Assumptions!$B$22),A22,"")</f>
        <v>19</v>
      </c>
    </row>
    <row r="23" customFormat="false" ht="15" hidden="false" customHeight="true" outlineLevel="0" collapsed="false">
      <c r="A23" s="34" t="n">
        <v>20</v>
      </c>
      <c r="B23" s="3" t="str">
        <f aca="false">IF(A23&lt;=Assumptions!$B$22,"Build","Selling")</f>
        <v>Selling</v>
      </c>
      <c r="C23" s="24" t="n">
        <f aca="false">IF(A23&lt;=Assumptions!$B$22,0,IF(A23&lt;=12,Assumptions!$B$17,IF(A23&lt;=24,Assumptions!$B$18,Assumptions!$B$19)))*Assumptions!$B$23</f>
        <v>2</v>
      </c>
      <c r="D23" s="24" t="n">
        <f aca="false">D22*(1-Assumptions!$B$21)+C23</f>
        <v>21.4999856707555</v>
      </c>
      <c r="E23" s="25" t="n">
        <f aca="false">D23*Assumptions!$B$12/12</f>
        <v>268749.820884444</v>
      </c>
      <c r="F23" s="25" t="n">
        <f aca="false">C23*Assumptions!$B$13</f>
        <v>120000</v>
      </c>
      <c r="G23" s="28" t="n">
        <f aca="false">E23+F23</f>
        <v>388749.820884444</v>
      </c>
      <c r="H23" s="25" t="n">
        <f aca="false">IF(A23&lt;=Assumptions!$B$22,INDEX(Budget!$B$16:$G$16,A23),0)</f>
        <v>0</v>
      </c>
      <c r="I23" s="25" t="n">
        <f aca="false">D23*Assumptions!$B$14</f>
        <v>53749.9641768888</v>
      </c>
      <c r="J23" s="25" t="n">
        <f aca="false">IF(A23&gt;Assumptions!$B$22,Assumptions!$B$15,0)</f>
        <v>70000</v>
      </c>
      <c r="K23" s="25" t="n">
        <f aca="false">IF(A23&gt;=5,Assumptions!$B$16,0)</f>
        <v>25000</v>
      </c>
      <c r="L23" s="28" t="n">
        <f aca="false">H23+I23+J23+K23</f>
        <v>148749.964176889</v>
      </c>
      <c r="M23" s="28" t="n">
        <f aca="false">G23-L23</f>
        <v>239999.856707555</v>
      </c>
      <c r="N23" s="25" t="n">
        <f aca="false">N22+M23</f>
        <v>588945.027277308</v>
      </c>
      <c r="O23" s="35" t="n">
        <f aca="false">1/(1+Assumptions!$B$5)^(A23/12)</f>
        <v>0.827884901443097</v>
      </c>
      <c r="P23" s="25" t="n">
        <f aca="false">M23*O23</f>
        <v>198692.257716692</v>
      </c>
      <c r="Q23" s="34" t="n">
        <f aca="false">IF(AND(N23&gt;=0,A23&gt;Assumptions!$B$22),A23,"")</f>
        <v>20</v>
      </c>
      <c r="R23" s="34" t="n">
        <f aca="false">IF(AND(M23&gt;0,A23&gt;Assumptions!$B$22),A23,"")</f>
        <v>20</v>
      </c>
    </row>
    <row r="24" customFormat="false" ht="15" hidden="false" customHeight="true" outlineLevel="0" collapsed="false">
      <c r="A24" s="34" t="n">
        <v>21</v>
      </c>
      <c r="B24" s="3" t="str">
        <f aca="false">IF(A24&lt;=Assumptions!$B$22,"Build","Selling")</f>
        <v>Selling</v>
      </c>
      <c r="C24" s="24" t="n">
        <f aca="false">IF(A24&lt;=Assumptions!$B$22,0,IF(A24&lt;=12,Assumptions!$B$17,IF(A24&lt;=24,Assumptions!$B$18,Assumptions!$B$19)))*Assumptions!$B$23</f>
        <v>2</v>
      </c>
      <c r="D24" s="24" t="n">
        <f aca="false">D23*(1-Assumptions!$B$21)+C24</f>
        <v>23.4082813781568</v>
      </c>
      <c r="E24" s="25" t="n">
        <f aca="false">D24*Assumptions!$B$12/12</f>
        <v>292603.51722696</v>
      </c>
      <c r="F24" s="25" t="n">
        <f aca="false">C24*Assumptions!$B$13</f>
        <v>120000</v>
      </c>
      <c r="G24" s="28" t="n">
        <f aca="false">E24+F24</f>
        <v>412603.51722696</v>
      </c>
      <c r="H24" s="25" t="n">
        <f aca="false">IF(A24&lt;=Assumptions!$B$22,INDEX(Budget!$B$16:$G$16,A24),0)</f>
        <v>0</v>
      </c>
      <c r="I24" s="25" t="n">
        <f aca="false">D24*Assumptions!$B$14</f>
        <v>58520.7034453919</v>
      </c>
      <c r="J24" s="25" t="n">
        <f aca="false">IF(A24&gt;Assumptions!$B$22,Assumptions!$B$15,0)</f>
        <v>70000</v>
      </c>
      <c r="K24" s="25" t="n">
        <f aca="false">IF(A24&gt;=5,Assumptions!$B$16,0)</f>
        <v>25000</v>
      </c>
      <c r="L24" s="28" t="n">
        <f aca="false">H24+I24+J24+K24</f>
        <v>153520.703445392</v>
      </c>
      <c r="M24" s="28" t="n">
        <f aca="false">G24-L24</f>
        <v>259082.813781568</v>
      </c>
      <c r="N24" s="25" t="n">
        <f aca="false">N23+M24</f>
        <v>848027.841058876</v>
      </c>
      <c r="O24" s="35" t="n">
        <f aca="false">1/(1+Assumptions!$B$5)^(A24/12)</f>
        <v>0.820103112820536</v>
      </c>
      <c r="P24" s="25" t="n">
        <f aca="false">M24*O24</f>
        <v>212474.622060567</v>
      </c>
      <c r="Q24" s="34" t="n">
        <f aca="false">IF(AND(N24&gt;=0,A24&gt;Assumptions!$B$22),A24,"")</f>
        <v>21</v>
      </c>
      <c r="R24" s="34" t="n">
        <f aca="false">IF(AND(M24&gt;0,A24&gt;Assumptions!$B$22),A24,"")</f>
        <v>21</v>
      </c>
    </row>
    <row r="25" customFormat="false" ht="15" hidden="false" customHeight="true" outlineLevel="0" collapsed="false">
      <c r="A25" s="34" t="n">
        <v>22</v>
      </c>
      <c r="B25" s="3" t="str">
        <f aca="false">IF(A25&lt;=Assumptions!$B$22,"Build","Selling")</f>
        <v>Selling</v>
      </c>
      <c r="C25" s="24" t="n">
        <f aca="false">IF(A25&lt;=Assumptions!$B$22,0,IF(A25&lt;=12,Assumptions!$B$17,IF(A25&lt;=24,Assumptions!$B$18,Assumptions!$B$19)))*Assumptions!$B$23</f>
        <v>2</v>
      </c>
      <c r="D25" s="24" t="n">
        <f aca="false">D24*(1-Assumptions!$B$21)+C25</f>
        <v>25.3084375960441</v>
      </c>
      <c r="E25" s="25" t="n">
        <f aca="false">D25*Assumptions!$B$12/12</f>
        <v>316355.469950551</v>
      </c>
      <c r="F25" s="25" t="n">
        <f aca="false">C25*Assumptions!$B$13</f>
        <v>120000</v>
      </c>
      <c r="G25" s="28" t="n">
        <f aca="false">E25+F25</f>
        <v>436355.469950551</v>
      </c>
      <c r="H25" s="25" t="n">
        <f aca="false">IF(A25&lt;=Assumptions!$B$22,INDEX(Budget!$B$16:$G$16,A25),0)</f>
        <v>0</v>
      </c>
      <c r="I25" s="25" t="n">
        <f aca="false">D25*Assumptions!$B$14</f>
        <v>63271.0939901103</v>
      </c>
      <c r="J25" s="25" t="n">
        <f aca="false">IF(A25&gt;Assumptions!$B$22,Assumptions!$B$15,0)</f>
        <v>70000</v>
      </c>
      <c r="K25" s="25" t="n">
        <f aca="false">IF(A25&gt;=5,Assumptions!$B$16,0)</f>
        <v>25000</v>
      </c>
      <c r="L25" s="28" t="n">
        <f aca="false">H25+I25+J25+K25</f>
        <v>158271.09399011</v>
      </c>
      <c r="M25" s="28" t="n">
        <f aca="false">G25-L25</f>
        <v>278084.375960441</v>
      </c>
      <c r="N25" s="25" t="n">
        <f aca="false">N24+M25</f>
        <v>1126112.21701932</v>
      </c>
      <c r="O25" s="35" t="n">
        <f aca="false">1/(1+Assumptions!$B$5)^(A25/12)</f>
        <v>0.812394469914319</v>
      </c>
      <c r="P25" s="25" t="n">
        <f aca="false">M25*O25</f>
        <v>225914.209199836</v>
      </c>
      <c r="Q25" s="34" t="n">
        <f aca="false">IF(AND(N25&gt;=0,A25&gt;Assumptions!$B$22),A25,"")</f>
        <v>22</v>
      </c>
      <c r="R25" s="34" t="n">
        <f aca="false">IF(AND(M25&gt;0,A25&gt;Assumptions!$B$22),A25,"")</f>
        <v>22</v>
      </c>
    </row>
    <row r="26" customFormat="false" ht="15" hidden="false" customHeight="true" outlineLevel="0" collapsed="false">
      <c r="A26" s="34" t="n">
        <v>23</v>
      </c>
      <c r="B26" s="3" t="str">
        <f aca="false">IF(A26&lt;=Assumptions!$B$22,"Build","Selling")</f>
        <v>Selling</v>
      </c>
      <c r="C26" s="24" t="n">
        <f aca="false">IF(A26&lt;=Assumptions!$B$22,0,IF(A26&lt;=12,Assumptions!$B$17,IF(A26&lt;=24,Assumptions!$B$18,Assumptions!$B$19)))*Assumptions!$B$23</f>
        <v>2</v>
      </c>
      <c r="D26" s="24" t="n">
        <f aca="false">D25*(1-Assumptions!$B$21)+C26</f>
        <v>27.200489041935</v>
      </c>
      <c r="E26" s="25" t="n">
        <f aca="false">D26*Assumptions!$B$12/12</f>
        <v>340006.113024187</v>
      </c>
      <c r="F26" s="25" t="n">
        <f aca="false">C26*Assumptions!$B$13</f>
        <v>120000</v>
      </c>
      <c r="G26" s="28" t="n">
        <f aca="false">E26+F26</f>
        <v>460006.113024187</v>
      </c>
      <c r="H26" s="25" t="n">
        <f aca="false">IF(A26&lt;=Assumptions!$B$22,INDEX(Budget!$B$16:$G$16,A26),0)</f>
        <v>0</v>
      </c>
      <c r="I26" s="25" t="n">
        <f aca="false">D26*Assumptions!$B$14</f>
        <v>68001.2226048374</v>
      </c>
      <c r="J26" s="25" t="n">
        <f aca="false">IF(A26&gt;Assumptions!$B$22,Assumptions!$B$15,0)</f>
        <v>70000</v>
      </c>
      <c r="K26" s="25" t="n">
        <f aca="false">IF(A26&gt;=5,Assumptions!$B$16,0)</f>
        <v>25000</v>
      </c>
      <c r="L26" s="28" t="n">
        <f aca="false">H26+I26+J26+K26</f>
        <v>163001.222604837</v>
      </c>
      <c r="M26" s="28" t="n">
        <f aca="false">G26-L26</f>
        <v>297004.89041935</v>
      </c>
      <c r="N26" s="25" t="n">
        <f aca="false">N25+M26</f>
        <v>1423117.10743867</v>
      </c>
      <c r="O26" s="35" t="n">
        <f aca="false">1/(1+Assumptions!$B$5)^(A26/12)</f>
        <v>0.804758285183819</v>
      </c>
      <c r="P26" s="25" t="n">
        <f aca="false">M26*O26</f>
        <v>239017.146305084</v>
      </c>
      <c r="Q26" s="34" t="n">
        <f aca="false">IF(AND(N26&gt;=0,A26&gt;Assumptions!$B$22),A26,"")</f>
        <v>23</v>
      </c>
      <c r="R26" s="34" t="n">
        <f aca="false">IF(AND(M26&gt;0,A26&gt;Assumptions!$B$22),A26,"")</f>
        <v>23</v>
      </c>
    </row>
    <row r="27" customFormat="false" ht="15" hidden="false" customHeight="true" outlineLevel="0" collapsed="false">
      <c r="A27" s="34" t="n">
        <v>24</v>
      </c>
      <c r="B27" s="3" t="str">
        <f aca="false">IF(A27&lt;=Assumptions!$B$22,"Build","Selling")</f>
        <v>Selling</v>
      </c>
      <c r="C27" s="24" t="n">
        <f aca="false">IF(A27&lt;=Assumptions!$B$22,0,IF(A27&lt;=12,Assumptions!$B$17,IF(A27&lt;=24,Assumptions!$B$18,Assumptions!$B$19)))*Assumptions!$B$23</f>
        <v>2</v>
      </c>
      <c r="D27" s="24" t="n">
        <f aca="false">D26*(1-Assumptions!$B$21)+C27</f>
        <v>29.0844702852656</v>
      </c>
      <c r="E27" s="25" t="n">
        <f aca="false">D27*Assumptions!$B$12/12</f>
        <v>363555.87856582</v>
      </c>
      <c r="F27" s="25" t="n">
        <f aca="false">C27*Assumptions!$B$13</f>
        <v>120000</v>
      </c>
      <c r="G27" s="28" t="n">
        <f aca="false">E27+F27</f>
        <v>483555.87856582</v>
      </c>
      <c r="H27" s="25" t="n">
        <f aca="false">IF(A27&lt;=Assumptions!$B$22,INDEX(Budget!$B$16:$G$16,A27),0)</f>
        <v>0</v>
      </c>
      <c r="I27" s="25" t="n">
        <f aca="false">D27*Assumptions!$B$14</f>
        <v>72711.1757131639</v>
      </c>
      <c r="J27" s="25" t="n">
        <f aca="false">IF(A27&gt;Assumptions!$B$22,Assumptions!$B$15,0)</f>
        <v>70000</v>
      </c>
      <c r="K27" s="25" t="n">
        <f aca="false">IF(A27&gt;=5,Assumptions!$B$16,0)</f>
        <v>25000</v>
      </c>
      <c r="L27" s="28" t="n">
        <f aca="false">H27+I27+J27+K27</f>
        <v>167711.175713164</v>
      </c>
      <c r="M27" s="28" t="n">
        <f aca="false">G27-L27</f>
        <v>315844.702852656</v>
      </c>
      <c r="N27" s="25" t="n">
        <f aca="false">N26+M27</f>
        <v>1738961.81029132</v>
      </c>
      <c r="O27" s="35" t="n">
        <f aca="false">1/(1+Assumptions!$B$5)^(A27/12)</f>
        <v>0.79719387755102</v>
      </c>
      <c r="P27" s="25" t="n">
        <f aca="false">M27*O27</f>
        <v>251789.463371058</v>
      </c>
      <c r="Q27" s="34" t="n">
        <f aca="false">IF(AND(N27&gt;=0,A27&gt;Assumptions!$B$22),A27,"")</f>
        <v>24</v>
      </c>
      <c r="R27" s="34" t="n">
        <f aca="false">IF(AND(M27&gt;0,A27&gt;Assumptions!$B$22),A27,"")</f>
        <v>24</v>
      </c>
    </row>
    <row r="28" customFormat="false" ht="15" hidden="false" customHeight="true" outlineLevel="0" collapsed="false">
      <c r="A28" s="34" t="n">
        <v>25</v>
      </c>
      <c r="B28" s="3" t="str">
        <f aca="false">IF(A28&lt;=Assumptions!$B$22,"Build","Selling")</f>
        <v>Selling</v>
      </c>
      <c r="C28" s="24" t="n">
        <f aca="false">IF(A28&lt;=Assumptions!$B$22,0,IF(A28&lt;=12,Assumptions!$B$17,IF(A28&lt;=24,Assumptions!$B$18,Assumptions!$B$19)))*Assumptions!$B$23</f>
        <v>3</v>
      </c>
      <c r="D28" s="24" t="n">
        <f aca="false">D27*(1-Assumptions!$B$21)+C28</f>
        <v>31.9604157480224</v>
      </c>
      <c r="E28" s="25" t="n">
        <f aca="false">D28*Assumptions!$B$12/12</f>
        <v>399505.19685028</v>
      </c>
      <c r="F28" s="25" t="n">
        <f aca="false">C28*Assumptions!$B$13</f>
        <v>180000</v>
      </c>
      <c r="G28" s="28" t="n">
        <f aca="false">E28+F28</f>
        <v>579505.19685028</v>
      </c>
      <c r="H28" s="25" t="n">
        <f aca="false">IF(A28&lt;=Assumptions!$B$22,INDEX(Budget!$B$16:$G$16,A28),0)</f>
        <v>0</v>
      </c>
      <c r="I28" s="25" t="n">
        <f aca="false">D28*Assumptions!$B$14</f>
        <v>79901.0393700561</v>
      </c>
      <c r="J28" s="25" t="n">
        <f aca="false">IF(A28&gt;Assumptions!$B$22,Assumptions!$B$15,0)</f>
        <v>70000</v>
      </c>
      <c r="K28" s="25" t="n">
        <f aca="false">IF(A28&gt;=5,Assumptions!$B$16,0)</f>
        <v>25000</v>
      </c>
      <c r="L28" s="28" t="n">
        <f aca="false">H28+I28+J28+K28</f>
        <v>174901.039370056</v>
      </c>
      <c r="M28" s="28" t="n">
        <f aca="false">G28-L28</f>
        <v>404604.157480224</v>
      </c>
      <c r="N28" s="25" t="n">
        <f aca="false">N27+M28</f>
        <v>2143565.96777155</v>
      </c>
      <c r="O28" s="35" t="n">
        <f aca="false">1/(1+Assumptions!$B$5)^(A28/12)</f>
        <v>0.789700572339767</v>
      </c>
      <c r="P28" s="25" t="n">
        <f aca="false">M28*O28</f>
        <v>319516.134733182</v>
      </c>
      <c r="Q28" s="34" t="n">
        <f aca="false">IF(AND(N28&gt;=0,A28&gt;Assumptions!$B$22),A28,"")</f>
        <v>25</v>
      </c>
      <c r="R28" s="34" t="n">
        <f aca="false">IF(AND(M28&gt;0,A28&gt;Assumptions!$B$22),A28,"")</f>
        <v>25</v>
      </c>
    </row>
    <row r="29" customFormat="false" ht="15" hidden="false" customHeight="true" outlineLevel="0" collapsed="false">
      <c r="A29" s="34" t="n">
        <v>26</v>
      </c>
      <c r="B29" s="3" t="str">
        <f aca="false">IF(A29&lt;=Assumptions!$B$22,"Build","Selling")</f>
        <v>Selling</v>
      </c>
      <c r="C29" s="24" t="n">
        <f aca="false">IF(A29&lt;=Assumptions!$B$22,0,IF(A29&lt;=12,Assumptions!$B$17,IF(A29&lt;=24,Assumptions!$B$18,Assumptions!$B$19)))*Assumptions!$B$23</f>
        <v>3</v>
      </c>
      <c r="D29" s="24" t="n">
        <f aca="false">D28*(1-Assumptions!$B$21)+C29</f>
        <v>34.8240943865937</v>
      </c>
      <c r="E29" s="25" t="n">
        <f aca="false">D29*Assumptions!$B$12/12</f>
        <v>435301.179832422</v>
      </c>
      <c r="F29" s="25" t="n">
        <f aca="false">C29*Assumptions!$B$13</f>
        <v>180000</v>
      </c>
      <c r="G29" s="28" t="n">
        <f aca="false">E29+F29</f>
        <v>615301.179832422</v>
      </c>
      <c r="H29" s="25" t="n">
        <f aca="false">IF(A29&lt;=Assumptions!$B$22,INDEX(Budget!$B$16:$G$16,A29),0)</f>
        <v>0</v>
      </c>
      <c r="I29" s="25" t="n">
        <f aca="false">D29*Assumptions!$B$14</f>
        <v>87060.2359664844</v>
      </c>
      <c r="J29" s="25" t="n">
        <f aca="false">IF(A29&gt;Assumptions!$B$22,Assumptions!$B$15,0)</f>
        <v>70000</v>
      </c>
      <c r="K29" s="25" t="n">
        <f aca="false">IF(A29&gt;=5,Assumptions!$B$16,0)</f>
        <v>25000</v>
      </c>
      <c r="L29" s="28" t="n">
        <f aca="false">H29+I29+J29+K29</f>
        <v>182060.235966484</v>
      </c>
      <c r="M29" s="28" t="n">
        <f aca="false">G29-L29</f>
        <v>433240.943865937</v>
      </c>
      <c r="N29" s="25" t="n">
        <f aca="false">N28+M29</f>
        <v>2576806.91163748</v>
      </c>
      <c r="O29" s="35" t="n">
        <f aca="false">1/(1+Assumptions!$B$5)^(A29/12)</f>
        <v>0.78227770121559</v>
      </c>
      <c r="P29" s="25" t="n">
        <f aca="false">M29*O29</f>
        <v>338914.729639918</v>
      </c>
      <c r="Q29" s="34" t="n">
        <f aca="false">IF(AND(N29&gt;=0,A29&gt;Assumptions!$B$22),A29,"")</f>
        <v>26</v>
      </c>
      <c r="R29" s="34" t="n">
        <f aca="false">IF(AND(M29&gt;0,A29&gt;Assumptions!$B$22),A29,"")</f>
        <v>26</v>
      </c>
    </row>
    <row r="30" customFormat="false" ht="15" hidden="false" customHeight="true" outlineLevel="0" collapsed="false">
      <c r="A30" s="34" t="n">
        <v>27</v>
      </c>
      <c r="B30" s="3" t="str">
        <f aca="false">IF(A30&lt;=Assumptions!$B$22,"Build","Selling")</f>
        <v>Selling</v>
      </c>
      <c r="C30" s="24" t="n">
        <f aca="false">IF(A30&lt;=Assumptions!$B$22,0,IF(A30&lt;=12,Assumptions!$B$17,IF(A30&lt;=24,Assumptions!$B$18,Assumptions!$B$19)))*Assumptions!$B$23</f>
        <v>3</v>
      </c>
      <c r="D30" s="24" t="n">
        <f aca="false">D29*(1-Assumptions!$B$21)+C30</f>
        <v>37.6755585228951</v>
      </c>
      <c r="E30" s="25" t="n">
        <f aca="false">D30*Assumptions!$B$12/12</f>
        <v>470944.481536188</v>
      </c>
      <c r="F30" s="25" t="n">
        <f aca="false">C30*Assumptions!$B$13</f>
        <v>180000</v>
      </c>
      <c r="G30" s="28" t="n">
        <f aca="false">E30+F30</f>
        <v>650944.481536188</v>
      </c>
      <c r="H30" s="25" t="n">
        <f aca="false">IF(A30&lt;=Assumptions!$B$22,INDEX(Budget!$B$16:$G$16,A30),0)</f>
        <v>0</v>
      </c>
      <c r="I30" s="25" t="n">
        <f aca="false">D30*Assumptions!$B$14</f>
        <v>94188.8963072377</v>
      </c>
      <c r="J30" s="25" t="n">
        <f aca="false">IF(A30&gt;Assumptions!$B$22,Assumptions!$B$15,0)</f>
        <v>70000</v>
      </c>
      <c r="K30" s="25" t="n">
        <f aca="false">IF(A30&gt;=5,Assumptions!$B$16,0)</f>
        <v>25000</v>
      </c>
      <c r="L30" s="28" t="n">
        <f aca="false">H30+I30+J30+K30</f>
        <v>189188.896307238</v>
      </c>
      <c r="M30" s="28" t="n">
        <f aca="false">G30-L30</f>
        <v>461755.585228951</v>
      </c>
      <c r="N30" s="25" t="n">
        <f aca="false">N29+M30</f>
        <v>3038562.49686643</v>
      </c>
      <c r="O30" s="35" t="n">
        <f aca="false">1/(1+Assumptions!$B$5)^(A30/12)</f>
        <v>0.774924602126102</v>
      </c>
      <c r="P30" s="25" t="n">
        <f aca="false">M30*O30</f>
        <v>357825.76316305</v>
      </c>
      <c r="Q30" s="34" t="n">
        <f aca="false">IF(AND(N30&gt;=0,A30&gt;Assumptions!$B$22),A30,"")</f>
        <v>27</v>
      </c>
      <c r="R30" s="34" t="n">
        <f aca="false">IF(AND(M30&gt;0,A30&gt;Assumptions!$B$22),A30,"")</f>
        <v>27</v>
      </c>
    </row>
    <row r="31" customFormat="false" ht="15" hidden="false" customHeight="true" outlineLevel="0" collapsed="false">
      <c r="A31" s="34" t="n">
        <v>28</v>
      </c>
      <c r="B31" s="3" t="str">
        <f aca="false">IF(A31&lt;=Assumptions!$B$22,"Build","Selling")</f>
        <v>Selling</v>
      </c>
      <c r="C31" s="24" t="n">
        <f aca="false">IF(A31&lt;=Assumptions!$B$22,0,IF(A31&lt;=12,Assumptions!$B$17,IF(A31&lt;=24,Assumptions!$B$18,Assumptions!$B$19)))*Assumptions!$B$23</f>
        <v>3</v>
      </c>
      <c r="D31" s="24" t="n">
        <f aca="false">D30*(1-Assumptions!$B$21)+C31</f>
        <v>40.5148602556723</v>
      </c>
      <c r="E31" s="25" t="n">
        <f aca="false">D31*Assumptions!$B$12/12</f>
        <v>506435.753195903</v>
      </c>
      <c r="F31" s="25" t="n">
        <f aca="false">C31*Assumptions!$B$13</f>
        <v>180000</v>
      </c>
      <c r="G31" s="28" t="n">
        <f aca="false">E31+F31</f>
        <v>686435.753195903</v>
      </c>
      <c r="H31" s="25" t="n">
        <f aca="false">IF(A31&lt;=Assumptions!$B$22,INDEX(Budget!$B$16:$G$16,A31),0)</f>
        <v>0</v>
      </c>
      <c r="I31" s="25" t="n">
        <f aca="false">D31*Assumptions!$B$14</f>
        <v>101287.150639181</v>
      </c>
      <c r="J31" s="25" t="n">
        <f aca="false">IF(A31&gt;Assumptions!$B$22,Assumptions!$B$15,0)</f>
        <v>70000</v>
      </c>
      <c r="K31" s="25" t="n">
        <f aca="false">IF(A31&gt;=5,Assumptions!$B$16,0)</f>
        <v>25000</v>
      </c>
      <c r="L31" s="28" t="n">
        <f aca="false">H31+I31+J31+K31</f>
        <v>196287.150639181</v>
      </c>
      <c r="M31" s="28" t="n">
        <f aca="false">G31-L31</f>
        <v>490148.602556723</v>
      </c>
      <c r="N31" s="25" t="n">
        <f aca="false">N30+M31</f>
        <v>3528711.09942316</v>
      </c>
      <c r="O31" s="35" t="n">
        <f aca="false">1/(1+Assumptions!$B$5)^(A31/12)</f>
        <v>0.76764061924194</v>
      </c>
      <c r="P31" s="25" t="n">
        <f aca="false">M31*O31</f>
        <v>376257.976787214</v>
      </c>
      <c r="Q31" s="34" t="n">
        <f aca="false">IF(AND(N31&gt;=0,A31&gt;Assumptions!$B$22),A31,"")</f>
        <v>28</v>
      </c>
      <c r="R31" s="34" t="n">
        <f aca="false">IF(AND(M31&gt;0,A31&gt;Assumptions!$B$22),A31,"")</f>
        <v>28</v>
      </c>
    </row>
    <row r="32" customFormat="false" ht="15" hidden="false" customHeight="true" outlineLevel="0" collapsed="false">
      <c r="A32" s="34" t="n">
        <v>29</v>
      </c>
      <c r="B32" s="3" t="str">
        <f aca="false">IF(A32&lt;=Assumptions!$B$22,"Build","Selling")</f>
        <v>Selling</v>
      </c>
      <c r="C32" s="24" t="n">
        <f aca="false">IF(A32&lt;=Assumptions!$B$22,0,IF(A32&lt;=12,Assumptions!$B$17,IF(A32&lt;=24,Assumptions!$B$18,Assumptions!$B$19)))*Assumptions!$B$23</f>
        <v>3</v>
      </c>
      <c r="D32" s="24" t="n">
        <f aca="false">D31*(1-Assumptions!$B$21)+C32</f>
        <v>43.3420514614535</v>
      </c>
      <c r="E32" s="25" t="n">
        <f aca="false">D32*Assumptions!$B$12/12</f>
        <v>541775.643268169</v>
      </c>
      <c r="F32" s="25" t="n">
        <f aca="false">C32*Assumptions!$B$13</f>
        <v>180000</v>
      </c>
      <c r="G32" s="28" t="n">
        <f aca="false">E32+F32</f>
        <v>721775.643268169</v>
      </c>
      <c r="H32" s="25" t="n">
        <f aca="false">IF(A32&lt;=Assumptions!$B$22,INDEX(Budget!$B$16:$G$16,A32),0)</f>
        <v>0</v>
      </c>
      <c r="I32" s="25" t="n">
        <f aca="false">D32*Assumptions!$B$14</f>
        <v>108355.128653634</v>
      </c>
      <c r="J32" s="25" t="n">
        <f aca="false">IF(A32&gt;Assumptions!$B$22,Assumptions!$B$15,0)</f>
        <v>70000</v>
      </c>
      <c r="K32" s="25" t="n">
        <f aca="false">IF(A32&gt;=5,Assumptions!$B$16,0)</f>
        <v>25000</v>
      </c>
      <c r="L32" s="28" t="n">
        <f aca="false">H32+I32+J32+K32</f>
        <v>203355.128653634</v>
      </c>
      <c r="M32" s="28" t="n">
        <f aca="false">G32-L32</f>
        <v>518420.514614535</v>
      </c>
      <c r="N32" s="25" t="n">
        <f aca="false">N31+M32</f>
        <v>4047131.61403769</v>
      </c>
      <c r="O32" s="35" t="n">
        <f aca="false">1/(1+Assumptions!$B$5)^(A32/12)</f>
        <v>0.760425102898279</v>
      </c>
      <c r="P32" s="25" t="n">
        <f aca="false">M32*O32</f>
        <v>394219.973170337</v>
      </c>
      <c r="Q32" s="34" t="n">
        <f aca="false">IF(AND(N32&gt;=0,A32&gt;Assumptions!$B$22),A32,"")</f>
        <v>29</v>
      </c>
      <c r="R32" s="34" t="n">
        <f aca="false">IF(AND(M32&gt;0,A32&gt;Assumptions!$B$22),A32,"")</f>
        <v>29</v>
      </c>
    </row>
    <row r="33" customFormat="false" ht="15" hidden="false" customHeight="true" outlineLevel="0" collapsed="false">
      <c r="A33" s="34" t="n">
        <v>30</v>
      </c>
      <c r="B33" s="3" t="str">
        <f aca="false">IF(A33&lt;=Assumptions!$B$22,"Build","Selling")</f>
        <v>Selling</v>
      </c>
      <c r="C33" s="24" t="n">
        <f aca="false">IF(A33&lt;=Assumptions!$B$22,0,IF(A33&lt;=12,Assumptions!$B$17,IF(A33&lt;=24,Assumptions!$B$18,Assumptions!$B$19)))*Assumptions!$B$23</f>
        <v>3</v>
      </c>
      <c r="D33" s="24" t="n">
        <f aca="false">D32*(1-Assumptions!$B$21)+C33</f>
        <v>46.157183795497</v>
      </c>
      <c r="E33" s="25" t="n">
        <f aca="false">D33*Assumptions!$B$12/12</f>
        <v>576964.797443712</v>
      </c>
      <c r="F33" s="25" t="n">
        <f aca="false">C33*Assumptions!$B$13</f>
        <v>180000</v>
      </c>
      <c r="G33" s="28" t="n">
        <f aca="false">E33+F33</f>
        <v>756964.797443712</v>
      </c>
      <c r="H33" s="25" t="n">
        <f aca="false">IF(A33&lt;=Assumptions!$B$22,INDEX(Budget!$B$16:$G$16,A33),0)</f>
        <v>0</v>
      </c>
      <c r="I33" s="25" t="n">
        <f aca="false">D33*Assumptions!$B$14</f>
        <v>115392.959488742</v>
      </c>
      <c r="J33" s="25" t="n">
        <f aca="false">IF(A33&gt;Assumptions!$B$22,Assumptions!$B$15,0)</f>
        <v>70000</v>
      </c>
      <c r="K33" s="25" t="n">
        <f aca="false">IF(A33&gt;=5,Assumptions!$B$16,0)</f>
        <v>25000</v>
      </c>
      <c r="L33" s="28" t="n">
        <f aca="false">H33+I33+J33+K33</f>
        <v>210392.959488742</v>
      </c>
      <c r="M33" s="28" t="n">
        <f aca="false">G33-L33</f>
        <v>546571.83795497</v>
      </c>
      <c r="N33" s="25" t="n">
        <f aca="false">N32+M33</f>
        <v>4593703.45199266</v>
      </c>
      <c r="O33" s="35" t="n">
        <f aca="false">1/(1+Assumptions!$B$5)^(A33/12)</f>
        <v>0.753277409536885</v>
      </c>
      <c r="P33" s="25" t="n">
        <f aca="false">M33*O33</f>
        <v>411720.218220533</v>
      </c>
      <c r="Q33" s="34" t="n">
        <f aca="false">IF(AND(N33&gt;=0,A33&gt;Assumptions!$B$22),A33,"")</f>
        <v>30</v>
      </c>
      <c r="R33" s="34" t="n">
        <f aca="false">IF(AND(M33&gt;0,A33&gt;Assumptions!$B$22),A33,"")</f>
        <v>30</v>
      </c>
    </row>
    <row r="34" customFormat="false" ht="15" hidden="false" customHeight="true" outlineLevel="0" collapsed="false">
      <c r="A34" s="34" t="n">
        <v>31</v>
      </c>
      <c r="B34" s="3" t="str">
        <f aca="false">IF(A34&lt;=Assumptions!$B$22,"Build","Selling")</f>
        <v>Selling</v>
      </c>
      <c r="C34" s="24" t="n">
        <f aca="false">IF(A34&lt;=Assumptions!$B$22,0,IF(A34&lt;=12,Assumptions!$B$17,IF(A34&lt;=24,Assumptions!$B$18,Assumptions!$B$19)))*Assumptions!$B$23</f>
        <v>3</v>
      </c>
      <c r="D34" s="24" t="n">
        <f aca="false">D33*(1-Assumptions!$B$21)+C34</f>
        <v>48.9603086927347</v>
      </c>
      <c r="E34" s="25" t="n">
        <f aca="false">D34*Assumptions!$B$12/12</f>
        <v>612003.858659184</v>
      </c>
      <c r="F34" s="25" t="n">
        <f aca="false">C34*Assumptions!$B$13</f>
        <v>180000</v>
      </c>
      <c r="G34" s="28" t="n">
        <f aca="false">E34+F34</f>
        <v>792003.858659184</v>
      </c>
      <c r="H34" s="25" t="n">
        <f aca="false">IF(A34&lt;=Assumptions!$B$22,INDEX(Budget!$B$16:$G$16,A34),0)</f>
        <v>0</v>
      </c>
      <c r="I34" s="25" t="n">
        <f aca="false">D34*Assumptions!$B$14</f>
        <v>122400.771731837</v>
      </c>
      <c r="J34" s="25" t="n">
        <f aca="false">IF(A34&gt;Assumptions!$B$22,Assumptions!$B$15,0)</f>
        <v>70000</v>
      </c>
      <c r="K34" s="25" t="n">
        <f aca="false">IF(A34&gt;=5,Assumptions!$B$16,0)</f>
        <v>25000</v>
      </c>
      <c r="L34" s="28" t="n">
        <f aca="false">H34+I34+J34+K34</f>
        <v>217400.771731837</v>
      </c>
      <c r="M34" s="28" t="n">
        <f aca="false">G34-L34</f>
        <v>574603.086927347</v>
      </c>
      <c r="N34" s="25" t="n">
        <f aca="false">N33+M34</f>
        <v>5168306.53892001</v>
      </c>
      <c r="O34" s="35" t="n">
        <f aca="false">1/(1+Assumptions!$B$5)^(A34/12)</f>
        <v>0.746196901648712</v>
      </c>
      <c r="P34" s="25" t="n">
        <f aca="false">M34*O34</f>
        <v>428767.043142972</v>
      </c>
      <c r="Q34" s="34" t="n">
        <f aca="false">IF(AND(N34&gt;=0,A34&gt;Assumptions!$B$22),A34,"")</f>
        <v>31</v>
      </c>
      <c r="R34" s="34" t="n">
        <f aca="false">IF(AND(M34&gt;0,A34&gt;Assumptions!$B$22),A34,"")</f>
        <v>31</v>
      </c>
    </row>
    <row r="35" customFormat="false" ht="15" hidden="false" customHeight="true" outlineLevel="0" collapsed="false">
      <c r="A35" s="34" t="n">
        <v>32</v>
      </c>
      <c r="B35" s="3" t="str">
        <f aca="false">IF(A35&lt;=Assumptions!$B$22,"Build","Selling")</f>
        <v>Selling</v>
      </c>
      <c r="C35" s="24" t="n">
        <f aca="false">IF(A35&lt;=Assumptions!$B$22,0,IF(A35&lt;=12,Assumptions!$B$17,IF(A35&lt;=24,Assumptions!$B$18,Assumptions!$B$19)))*Assumptions!$B$23</f>
        <v>3</v>
      </c>
      <c r="D35" s="24" t="n">
        <f aca="false">D34*(1-Assumptions!$B$21)+C35</f>
        <v>51.7514773687124</v>
      </c>
      <c r="E35" s="25" t="n">
        <f aca="false">D35*Assumptions!$B$12/12</f>
        <v>646893.467108905</v>
      </c>
      <c r="F35" s="25" t="n">
        <f aca="false">C35*Assumptions!$B$13</f>
        <v>180000</v>
      </c>
      <c r="G35" s="28" t="n">
        <f aca="false">E35+F35</f>
        <v>826893.467108905</v>
      </c>
      <c r="H35" s="25" t="n">
        <f aca="false">IF(A35&lt;=Assumptions!$B$22,INDEX(Budget!$B$16:$G$16,A35),0)</f>
        <v>0</v>
      </c>
      <c r="I35" s="25" t="n">
        <f aca="false">D35*Assumptions!$B$14</f>
        <v>129378.693421781</v>
      </c>
      <c r="J35" s="25" t="n">
        <f aca="false">IF(A35&gt;Assumptions!$B$22,Assumptions!$B$15,0)</f>
        <v>70000</v>
      </c>
      <c r="K35" s="25" t="n">
        <f aca="false">IF(A35&gt;=5,Assumptions!$B$16,0)</f>
        <v>25000</v>
      </c>
      <c r="L35" s="28" t="n">
        <f aca="false">H35+I35+J35+K35</f>
        <v>224378.693421781</v>
      </c>
      <c r="M35" s="28" t="n">
        <f aca="false">G35-L35</f>
        <v>602514.773687124</v>
      </c>
      <c r="N35" s="25" t="n">
        <f aca="false">N34+M35</f>
        <v>5770821.31260713</v>
      </c>
      <c r="O35" s="35" t="n">
        <f aca="false">1/(1+Assumptions!$B$5)^(A35/12)</f>
        <v>0.739182947717051</v>
      </c>
      <c r="P35" s="25" t="n">
        <f aca="false">M35*O35</f>
        <v>445368.64645712</v>
      </c>
      <c r="Q35" s="34" t="n">
        <f aca="false">IF(AND(N35&gt;=0,A35&gt;Assumptions!$B$22),A35,"")</f>
        <v>32</v>
      </c>
      <c r="R35" s="34" t="n">
        <f aca="false">IF(AND(M35&gt;0,A35&gt;Assumptions!$B$22),A35,"")</f>
        <v>32</v>
      </c>
    </row>
    <row r="36" customFormat="false" ht="15" hidden="false" customHeight="true" outlineLevel="0" collapsed="false">
      <c r="A36" s="34" t="n">
        <v>33</v>
      </c>
      <c r="B36" s="3" t="str">
        <f aca="false">IF(A36&lt;=Assumptions!$B$22,"Build","Selling")</f>
        <v>Selling</v>
      </c>
      <c r="C36" s="24" t="n">
        <f aca="false">IF(A36&lt;=Assumptions!$B$22,0,IF(A36&lt;=12,Assumptions!$B$17,IF(A36&lt;=24,Assumptions!$B$18,Assumptions!$B$19)))*Assumptions!$B$23</f>
        <v>3</v>
      </c>
      <c r="D36" s="24" t="n">
        <f aca="false">D35*(1-Assumptions!$B$21)+C36</f>
        <v>54.5307408205252</v>
      </c>
      <c r="E36" s="25" t="n">
        <f aca="false">D36*Assumptions!$B$12/12</f>
        <v>681634.260256564</v>
      </c>
      <c r="F36" s="25" t="n">
        <f aca="false">C36*Assumptions!$B$13</f>
        <v>180000</v>
      </c>
      <c r="G36" s="28" t="n">
        <f aca="false">E36+F36</f>
        <v>861634.260256564</v>
      </c>
      <c r="H36" s="25" t="n">
        <f aca="false">IF(A36&lt;=Assumptions!$B$22,INDEX(Budget!$B$16:$G$16,A36),0)</f>
        <v>0</v>
      </c>
      <c r="I36" s="25" t="n">
        <f aca="false">D36*Assumptions!$B$14</f>
        <v>136326.852051313</v>
      </c>
      <c r="J36" s="25" t="n">
        <f aca="false">IF(A36&gt;Assumptions!$B$22,Assumptions!$B$15,0)</f>
        <v>70000</v>
      </c>
      <c r="K36" s="25" t="n">
        <f aca="false">IF(A36&gt;=5,Assumptions!$B$16,0)</f>
        <v>25000</v>
      </c>
      <c r="L36" s="28" t="n">
        <f aca="false">H36+I36+J36+K36</f>
        <v>231326.852051313</v>
      </c>
      <c r="M36" s="28" t="n">
        <f aca="false">G36-L36</f>
        <v>630307.408205251</v>
      </c>
      <c r="N36" s="25" t="n">
        <f aca="false">N35+M36</f>
        <v>6401128.72081238</v>
      </c>
      <c r="O36" s="35" t="n">
        <f aca="false">1/(1+Assumptions!$B$5)^(A36/12)</f>
        <v>0.732234922161193</v>
      </c>
      <c r="P36" s="25" t="n">
        <f aca="false">M36*O36</f>
        <v>461533.095984795</v>
      </c>
      <c r="Q36" s="34" t="n">
        <f aca="false">IF(AND(N36&gt;=0,A36&gt;Assumptions!$B$22),A36,"")</f>
        <v>33</v>
      </c>
      <c r="R36" s="34" t="n">
        <f aca="false">IF(AND(M36&gt;0,A36&gt;Assumptions!$B$22),A36,"")</f>
        <v>33</v>
      </c>
    </row>
    <row r="37" customFormat="false" ht="15" hidden="false" customHeight="true" outlineLevel="0" collapsed="false">
      <c r="A37" s="34" t="n">
        <v>34</v>
      </c>
      <c r="B37" s="3" t="str">
        <f aca="false">IF(A37&lt;=Assumptions!$B$22,"Build","Selling")</f>
        <v>Selling</v>
      </c>
      <c r="C37" s="24" t="n">
        <f aca="false">IF(A37&lt;=Assumptions!$B$22,0,IF(A37&lt;=12,Assumptions!$B$17,IF(A37&lt;=24,Assumptions!$B$18,Assumptions!$B$19)))*Assumptions!$B$23</f>
        <v>3</v>
      </c>
      <c r="D37" s="24" t="n">
        <f aca="false">D36*(1-Assumptions!$B$21)+C37</f>
        <v>57.2981498277491</v>
      </c>
      <c r="E37" s="25" t="n">
        <f aca="false">D37*Assumptions!$B$12/12</f>
        <v>716226.872846863</v>
      </c>
      <c r="F37" s="25" t="n">
        <f aca="false">C37*Assumptions!$B$13</f>
        <v>180000</v>
      </c>
      <c r="G37" s="28" t="n">
        <f aca="false">E37+F37</f>
        <v>896226.872846863</v>
      </c>
      <c r="H37" s="25" t="n">
        <f aca="false">IF(A37&lt;=Assumptions!$B$22,INDEX(Budget!$B$16:$G$16,A37),0)</f>
        <v>0</v>
      </c>
      <c r="I37" s="25" t="n">
        <f aca="false">D37*Assumptions!$B$14</f>
        <v>143245.374569373</v>
      </c>
      <c r="J37" s="25" t="n">
        <f aca="false">IF(A37&gt;Assumptions!$B$22,Assumptions!$B$15,0)</f>
        <v>70000</v>
      </c>
      <c r="K37" s="25" t="n">
        <f aca="false">IF(A37&gt;=5,Assumptions!$B$16,0)</f>
        <v>25000</v>
      </c>
      <c r="L37" s="28" t="n">
        <f aca="false">H37+I37+J37+K37</f>
        <v>238245.374569373</v>
      </c>
      <c r="M37" s="28" t="n">
        <f aca="false">G37-L37</f>
        <v>657981.498277491</v>
      </c>
      <c r="N37" s="25" t="n">
        <f aca="false">N36+M37</f>
        <v>7059110.21908987</v>
      </c>
      <c r="O37" s="35" t="n">
        <f aca="false">1/(1+Assumptions!$B$5)^(A37/12)</f>
        <v>0.725352205280642</v>
      </c>
      <c r="P37" s="25" t="n">
        <f aca="false">M37*O37</f>
        <v>477268.330809439</v>
      </c>
      <c r="Q37" s="34" t="n">
        <f aca="false">IF(AND(N37&gt;=0,A37&gt;Assumptions!$B$22),A37,"")</f>
        <v>34</v>
      </c>
      <c r="R37" s="34" t="n">
        <f aca="false">IF(AND(M37&gt;0,A37&gt;Assumptions!$B$22),A37,"")</f>
        <v>34</v>
      </c>
    </row>
    <row r="38" customFormat="false" ht="15" hidden="false" customHeight="true" outlineLevel="0" collapsed="false">
      <c r="A38" s="34" t="n">
        <v>35</v>
      </c>
      <c r="B38" s="3" t="str">
        <f aca="false">IF(A38&lt;=Assumptions!$B$22,"Build","Selling")</f>
        <v>Selling</v>
      </c>
      <c r="C38" s="24" t="n">
        <f aca="false">IF(A38&lt;=Assumptions!$B$22,0,IF(A38&lt;=12,Assumptions!$B$17,IF(A38&lt;=24,Assumptions!$B$18,Assumptions!$B$19)))*Assumptions!$B$23</f>
        <v>3</v>
      </c>
      <c r="D38" s="24" t="n">
        <f aca="false">D37*(1-Assumptions!$B$21)+C38</f>
        <v>60.0537549533693</v>
      </c>
      <c r="E38" s="25" t="n">
        <f aca="false">D38*Assumptions!$B$12/12</f>
        <v>750671.936917116</v>
      </c>
      <c r="F38" s="25" t="n">
        <f aca="false">C38*Assumptions!$B$13</f>
        <v>180000</v>
      </c>
      <c r="G38" s="28" t="n">
        <f aca="false">E38+F38</f>
        <v>930671.936917116</v>
      </c>
      <c r="H38" s="25" t="n">
        <f aca="false">IF(A38&lt;=Assumptions!$B$22,INDEX(Budget!$B$16:$G$16,A38),0)</f>
        <v>0</v>
      </c>
      <c r="I38" s="25" t="n">
        <f aca="false">D38*Assumptions!$B$14</f>
        <v>150134.387383423</v>
      </c>
      <c r="J38" s="25" t="n">
        <f aca="false">IF(A38&gt;Assumptions!$B$22,Assumptions!$B$15,0)</f>
        <v>70000</v>
      </c>
      <c r="K38" s="25" t="n">
        <f aca="false">IF(A38&gt;=5,Assumptions!$B$16,0)</f>
        <v>25000</v>
      </c>
      <c r="L38" s="28" t="n">
        <f aca="false">H38+I38+J38+K38</f>
        <v>245134.387383423</v>
      </c>
      <c r="M38" s="28" t="n">
        <f aca="false">G38-L38</f>
        <v>685537.549533693</v>
      </c>
      <c r="N38" s="25" t="n">
        <f aca="false">N37+M38</f>
        <v>7744647.76862357</v>
      </c>
      <c r="O38" s="35" t="n">
        <f aca="false">1/(1+Assumptions!$B$5)^(A38/12)</f>
        <v>0.718534183199839</v>
      </c>
      <c r="P38" s="25" t="n">
        <f aca="false">M38*O38</f>
        <v>492582.163207011</v>
      </c>
      <c r="Q38" s="34" t="n">
        <f aca="false">IF(AND(N38&gt;=0,A38&gt;Assumptions!$B$22),A38,"")</f>
        <v>35</v>
      </c>
      <c r="R38" s="34" t="n">
        <f aca="false">IF(AND(M38&gt;0,A38&gt;Assumptions!$B$22),A38,"")</f>
        <v>35</v>
      </c>
    </row>
    <row r="39" customFormat="false" ht="15" hidden="false" customHeight="true" outlineLevel="0" collapsed="false">
      <c r="A39" s="34" t="n">
        <v>36</v>
      </c>
      <c r="B39" s="3" t="str">
        <f aca="false">IF(A39&lt;=Assumptions!$B$22,"Build","Selling")</f>
        <v>Selling</v>
      </c>
      <c r="C39" s="24" t="n">
        <f aca="false">IF(A39&lt;=Assumptions!$B$22,0,IF(A39&lt;=12,Assumptions!$B$17,IF(A39&lt;=24,Assumptions!$B$18,Assumptions!$B$19)))*Assumptions!$B$23</f>
        <v>3</v>
      </c>
      <c r="D39" s="24" t="n">
        <f aca="false">D38*(1-Assumptions!$B$21)+C39</f>
        <v>62.7976065447037</v>
      </c>
      <c r="E39" s="25" t="n">
        <f aca="false">D39*Assumptions!$B$12/12</f>
        <v>784970.081808796</v>
      </c>
      <c r="F39" s="25" t="n">
        <f aca="false">C39*Assumptions!$B$13</f>
        <v>180000</v>
      </c>
      <c r="G39" s="28" t="n">
        <f aca="false">E39+F39</f>
        <v>964970.081808796</v>
      </c>
      <c r="H39" s="25" t="n">
        <f aca="false">IF(A39&lt;=Assumptions!$B$22,INDEX(Budget!$B$16:$G$16,A39),0)</f>
        <v>0</v>
      </c>
      <c r="I39" s="25" t="n">
        <f aca="false">D39*Assumptions!$B$14</f>
        <v>156994.016361759</v>
      </c>
      <c r="J39" s="25" t="n">
        <f aca="false">IF(A39&gt;Assumptions!$B$22,Assumptions!$B$15,0)</f>
        <v>70000</v>
      </c>
      <c r="K39" s="25" t="n">
        <f aca="false">IF(A39&gt;=5,Assumptions!$B$16,0)</f>
        <v>25000</v>
      </c>
      <c r="L39" s="28" t="n">
        <f aca="false">H39+I39+J39+K39</f>
        <v>251994.016361759</v>
      </c>
      <c r="M39" s="28" t="n">
        <f aca="false">G39-L39</f>
        <v>712976.065447037</v>
      </c>
      <c r="N39" s="25" t="n">
        <f aca="false">N38+M39</f>
        <v>8457623.8340706</v>
      </c>
      <c r="O39" s="35" t="n">
        <f aca="false">1/(1+Assumptions!$B$5)^(A39/12)</f>
        <v>0.711780247813411</v>
      </c>
      <c r="P39" s="25" t="n">
        <f aca="false">M39*O39</f>
        <v>507482.280548922</v>
      </c>
      <c r="Q39" s="34" t="n">
        <f aca="false">IF(AND(N39&gt;=0,A39&gt;Assumptions!$B$22),A39,"")</f>
        <v>36</v>
      </c>
      <c r="R39" s="34" t="n">
        <f aca="false">IF(AND(M39&gt;0,A39&gt;Assumptions!$B$22),A39,"")</f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2026-10-16T10:59:48Z</dcterms:created>
  <dc:creator>openpyxl</dc:creator>
  <dc:description/>
  <dc:language>en-US</dc:language>
  <cp:lastModifiedBy/>
  <dcterms:modified xsi:type="dcterms:W3CDTF">2026-10-18T05:04:46Z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